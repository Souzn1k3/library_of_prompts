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e24920c1c940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сходные данные" sheetId="1" r:id="Rbdaed228ad304437"/>
    <x:sheet xmlns:r="http://schemas.openxmlformats.org/officeDocument/2006/relationships" name="Пользовательская воронка" sheetId="2" r:id="R97ff3e9aeee4400f"/>
    <x:sheet xmlns:r="http://schemas.openxmlformats.org/officeDocument/2006/relationships" name="Конверсии по тарифам" sheetId="3" r:id="R455abe2a48c2406b"/>
    <x:sheet xmlns:r="http://schemas.openxmlformats.org/officeDocument/2006/relationships" name="Доходы" sheetId="4" r:id="Rdca67a029dc745d4"/>
    <x:sheet xmlns:r="http://schemas.openxmlformats.org/officeDocument/2006/relationships" name="Расходы" sheetId="5" r:id="R34eec5e64ef649df"/>
    <x:sheet xmlns:r="http://schemas.openxmlformats.org/officeDocument/2006/relationships" name="Unit-экономика" sheetId="6" r:id="Rb6d7d49b089d49c6"/>
    <x:sheet xmlns:r="http://schemas.openxmlformats.org/officeDocument/2006/relationships" name="MRR" sheetId="7" r:id="R07bd83d2516a451c"/>
    <x:sheet xmlns:r="http://schemas.openxmlformats.org/officeDocument/2006/relationships" name="ARR" sheetId="8" r:id="R4174f447e9a94406"/>
    <x:sheet xmlns:r="http://schemas.openxmlformats.org/officeDocument/2006/relationships" name="Cash Flow" sheetId="9" r:id="Re3e10b4119fb471f"/>
    <x:sheet xmlns:r="http://schemas.openxmlformats.org/officeDocument/2006/relationships" name="Точка безубыточности" sheetId="10" r:id="R6fedb31c88884ddb"/>
    <x:sheet xmlns:r="http://schemas.openxmlformats.org/officeDocument/2006/relationships" name="Прогноз прибыли" sheetId="11" r:id="Reeab9cf948e840ec"/>
    <x:sheet xmlns:r="http://schemas.openxmlformats.org/officeDocument/2006/relationships" name="Пессимистичный сценарий" sheetId="12" r:id="R45e825cdeeae48f6"/>
    <x:sheet xmlns:r="http://schemas.openxmlformats.org/officeDocument/2006/relationships" name="Базовый сценарий" sheetId="13" r:id="R945f38c748424ec9"/>
    <x:sheet xmlns:r="http://schemas.openxmlformats.org/officeDocument/2006/relationships" name="Оптимистичный сценарий" sheetId="14" r:id="R2d5deb90e1e64a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.0000"/>
    <x:numFmt numFmtId="201" formatCode="0.000"/>
    <x:numFmt numFmtId="202" formatCode="$#,##0.000;[Red]-$#,##0.000;-"/>
    <x:numFmt numFmtId="203" formatCode="#,##0 &quot;₽&quot;;[Red]-#,##0 &quot;₽&quot;;-"/>
    <x:numFmt numFmtId="204" formatCode="0.0%;[Red]-0.0%;-"/>
    <x:numFmt numFmtId="205" formatCode="#,##0;[Red]-#,##0;-"/>
    <x:numFmt numFmtId="206" formatCode="0.00x"/>
    <x:numFmt numFmtId="207" formatCode="0.0x"/>
  </x:numFmts>
  <x:fonts count="16">
    <x:font>
      <x:sz val="11"/>
      <x:name val="Carlito"/>
    </x:font>
    <x:font>
      <x:b/>
      <x:sz val="14"/>
      <x:color rgb="FFFFFFFF"/>
      <x:name val="Carlito"/>
    </x:font>
    <x:font>
      <x:i/>
      <x:sz val="10"/>
      <x:color rgb="FF1F1F1F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sz val="11"/>
      <x:color rgb="FF0563C1"/>
      <x:name val="Carlito"/>
    </x:font>
    <x:font>
      <x:sz val="11"/>
      <x:color rgb="FF008000"/>
      <x:name val="Carlito"/>
    </x:font>
    <x:font>
      <x:b/>
      <x:sz val="14"/>
      <x:color rgb="FFFFFFFF"/>
      <x:name val="Arial"/>
    </x:font>
    <x:font>
      <x:sz val="11"/>
      <x:name val="Arial"/>
    </x:font>
    <x:font>
      <x:i/>
      <x:sz val="10"/>
      <x:color rgb="FF1F1F1F"/>
      <x:name val="Arial"/>
    </x:font>
    <x:font>
      <x:b/>
      <x:sz val="11"/>
      <x:color rgb="FFFFFFFF"/>
      <x:name val="Arial"/>
    </x:font>
    <x:font>
      <x:sz val="11"/>
      <x:color rgb="FF0000FF"/>
      <x:name val="Arial"/>
    </x:font>
    <x:font>
      <x:sz val="11"/>
      <x:color rgb="FF000000"/>
      <x:name val="Arial"/>
    </x:font>
    <x:font>
      <x:sz val="11"/>
      <x:color rgb="FF0563C1"/>
      <x:name val="Arial"/>
    </x:font>
    <x:font>
      <x:sz val="11"/>
      <x:color rgb="FF00800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3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6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4" borderId="2" xfId="0" applyNumberFormat="1" applyFont="1" applyFill="1" applyBorder="1" applyAlignment="1">
      <x:alignment vertical="top" wrapText="1"/>
    </x:xf>
    <x:xf numFmtId="0" fontId="4" fillId="4" borderId="2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  <x:xf numFmtId="200" fontId="4" fillId="4" borderId="2" xfId="0" applyNumberFormat="1" applyFont="1" applyFill="1" applyBorder="1" applyAlignment="1">
      <x:alignment vertical="top" wrapText="1"/>
    </x:xf>
    <x:xf numFmtId="201" fontId="4" fillId="4" borderId="2" xfId="0" applyNumberFormat="1" applyFont="1" applyFill="1" applyBorder="1" applyAlignment="1">
      <x:alignment vertical="top" wrapText="1"/>
    </x:xf>
    <x:xf numFmtId="201" fontId="5" fillId="0" borderId="2" xfId="0" applyNumberFormat="1" applyFont="1" applyFill="1" applyBorder="1" applyAlignment="1">
      <x:alignment vertical="top" wrapText="1"/>
    </x:xf>
    <x:xf numFmtId="202" fontId="4" fillId="4" borderId="2" xfId="0" applyNumberFormat="1" applyFont="1" applyFill="1" applyBorder="1" applyAlignment="1">
      <x:alignment vertical="top" wrapText="1"/>
    </x:xf>
    <x:xf numFmtId="203" fontId="5" fillId="0" borderId="2" xfId="0" applyNumberFormat="1" applyFont="1" applyFill="1" applyBorder="1" applyAlignment="1">
      <x:alignment vertical="top" wrapText="1"/>
    </x:xf>
    <x:xf numFmtId="204" fontId="4" fillId="4" borderId="2" xfId="0" applyNumberFormat="1" applyFont="1" applyFill="1" applyBorder="1" applyAlignment="1">
      <x:alignment vertical="top" wrapText="1"/>
    </x:xf>
    <x:xf numFmtId="203" fontId="0" fillId="0" borderId="2" xfId="0" applyNumberFormat="1" applyFont="1" applyFill="1" applyBorder="1" applyAlignment="1">
      <x:alignment vertical="top" wrapText="1"/>
    </x:xf>
    <x:xf numFmtId="205" fontId="0" fillId="0" borderId="2" xfId="0" applyNumberFormat="1" applyFont="1" applyFill="1" applyBorder="1" applyAlignment="1">
      <x:alignment vertical="top" wrapText="1"/>
    </x:xf>
    <x:xf numFmtId="206" fontId="4" fillId="4" borderId="2" xfId="0" applyNumberFormat="1" applyFont="1" applyFill="1" applyBorder="1" applyAlignment="1">
      <x:alignment vertical="top" wrapText="1"/>
    </x:xf>
    <x:xf numFmtId="205" fontId="4" fillId="4" borderId="2" xfId="0" applyNumberFormat="1" applyFont="1" applyFill="1" applyBorder="1" applyAlignment="1">
      <x:alignment vertical="top" wrapText="1"/>
    </x:xf>
    <x:xf numFmtId="203" fontId="4" fillId="4" borderId="2" xfId="0" applyNumberFormat="1" applyFont="1" applyFill="1" applyBorder="1" applyAlignment="1">
      <x:alignment vertical="top" wrapText="1"/>
    </x:xf>
    <x:xf numFmtId="207" fontId="4" fillId="4" borderId="2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  <x:xf numFmtId="0" fontId="7" fillId="0" borderId="2" xfId="0" applyNumberFormat="1" applyFont="1" applyFill="1" applyBorder="1" applyAlignment="1">
      <x:alignment vertical="top" wrapText="1"/>
    </x:xf>
    <x:xf numFmtId="205" fontId="7" fillId="0" borderId="2" xfId="0" applyNumberFormat="1" applyFont="1" applyFill="1" applyBorder="1" applyAlignment="1">
      <x:alignment vertical="top" wrapText="1"/>
    </x:xf>
    <x:xf numFmtId="204" fontId="7" fillId="0" borderId="2" xfId="0" applyNumberFormat="1" applyFont="1" applyFill="1" applyBorder="1" applyAlignment="1">
      <x:alignment vertical="top" wrapText="1"/>
    </x:xf>
    <x:xf numFmtId="205" fontId="5" fillId="0" borderId="2" xfId="0" applyNumberFormat="1" applyFont="1" applyFill="1" applyBorder="1" applyAlignment="1">
      <x:alignment vertical="top" wrapText="1"/>
    </x:xf>
    <x:xf numFmtId="204" fontId="5" fillId="0" borderId="2" xfId="0" applyNumberFormat="1" applyFont="1" applyFill="1" applyBorder="1" applyAlignment="1">
      <x:alignment vertical="top" wrapText="1"/>
    </x:xf>
    <x:xf numFmtId="207" fontId="5" fillId="0" borderId="2" xfId="0" applyNumberFormat="1" applyFont="1" applyFill="1" applyBorder="1" applyAlignment="1">
      <x:alignment vertical="top" wrapText="1"/>
    </x:xf>
    <x:xf numFmtId="207" fontId="0" fillId="0" borderId="2" xfId="0" applyNumberFormat="1" applyFont="1" applyFill="1" applyBorder="1" applyAlignment="1">
      <x:alignment vertical="top" wrapText="1"/>
    </x:xf>
    <x:xf numFmtId="204" fontId="0" fillId="0" borderId="2" xfId="0" applyNumberFormat="1" applyFont="1" applyFill="1" applyBorder="1" applyAlignment="1">
      <x:alignment vertical="top" wrapText="1"/>
    </x:xf>
    <x:xf numFmtId="0" fontId="8" fillId="2" borderId="0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/>
    <x:xf numFmtId="0" fontId="10" fillId="3" borderId="0" xfId="0" applyNumberFormat="1" applyFont="1" applyFill="1" applyBorder="1" applyAlignment="1">
      <x:alignment horizontal="left" wrapText="1"/>
    </x:xf>
    <x:xf numFmtId="0" fontId="11" fillId="2" borderId="1" xfId="0" applyNumberFormat="1" applyFont="1" applyFill="1" applyBorder="1" applyAlignment="1">
      <x:alignment horizontal="center" vertical="center" wrapText="1"/>
    </x:xf>
    <x:xf numFmtId="0" fontId="9" fillId="0" borderId="2" xfId="0" applyNumberFormat="1" applyFont="1" applyFill="1" applyBorder="1" applyAlignment="1">
      <x:alignment vertical="top" wrapText="1"/>
    </x:xf>
    <x:xf numFmtId="200" fontId="12" fillId="4" borderId="2" xfId="0" applyNumberFormat="1" applyFont="1" applyFill="1" applyBorder="1" applyAlignment="1">
      <x:alignment vertical="top" wrapText="1"/>
    </x:xf>
    <x:xf numFmtId="0" fontId="12" fillId="4" borderId="2" xfId="0" applyNumberFormat="1" applyFont="1" applyFill="1" applyBorder="1" applyAlignment="1">
      <x:alignment vertical="top" wrapText="1"/>
    </x:xf>
    <x:xf numFmtId="203" fontId="9" fillId="0" borderId="2" xfId="0" applyNumberFormat="1" applyFont="1" applyFill="1" applyBorder="1" applyAlignment="1">
      <x:alignment vertical="top" wrapText="1"/>
    </x:xf>
    <x:xf numFmtId="205" fontId="9" fillId="0" borderId="2" xfId="0" applyNumberFormat="1" applyFont="1" applyFill="1" applyBorder="1" applyAlignment="1">
      <x:alignment vertical="top" wrapText="1"/>
    </x:xf>
    <x:xf numFmtId="201" fontId="12" fillId="4" borderId="2" xfId="0" applyNumberFormat="1" applyFont="1" applyFill="1" applyBorder="1" applyAlignment="1">
      <x:alignment vertical="top" wrapText="1"/>
    </x:xf>
    <x:xf numFmtId="201" fontId="13" fillId="0" borderId="2" xfId="0" applyNumberFormat="1" applyFont="1" applyFill="1" applyBorder="1" applyAlignment="1">
      <x:alignment vertical="top" wrapText="1"/>
    </x:xf>
    <x:xf numFmtId="202" fontId="12" fillId="4" borderId="2" xfId="0" applyNumberFormat="1" applyFont="1" applyFill="1" applyBorder="1" applyAlignment="1">
      <x:alignment vertical="top" wrapText="1"/>
    </x:xf>
    <x:xf numFmtId="206" fontId="12" fillId="4" borderId="2" xfId="0" applyNumberFormat="1" applyFont="1" applyFill="1" applyBorder="1" applyAlignment="1">
      <x:alignment vertical="top" wrapText="1"/>
    </x:xf>
    <x:xf numFmtId="203" fontId="13" fillId="0" borderId="2" xfId="0" applyNumberFormat="1" applyFont="1" applyFill="1" applyBorder="1" applyAlignment="1">
      <x:alignment vertical="top" wrapText="1"/>
    </x:xf>
    <x:xf numFmtId="204" fontId="12" fillId="4" borderId="2" xfId="0" applyNumberFormat="1" applyFont="1" applyFill="1" applyBorder="1" applyAlignment="1">
      <x:alignment vertical="top" wrapText="1"/>
    </x:xf>
    <x:xf numFmtId="205" fontId="12" fillId="4" borderId="2" xfId="0" applyNumberFormat="1" applyFont="1" applyFill="1" applyBorder="1" applyAlignment="1">
      <x:alignment vertical="top" wrapText="1"/>
    </x:xf>
    <x:xf numFmtId="203" fontId="12" fillId="4" borderId="2" xfId="0" applyNumberFormat="1" applyFont="1" applyFill="1" applyBorder="1" applyAlignment="1">
      <x:alignment vertical="top" wrapText="1"/>
    </x:xf>
    <x:xf numFmtId="207" fontId="12" fillId="4" borderId="2" xfId="0" applyNumberFormat="1" applyFont="1" applyFill="1" applyBorder="1" applyAlignment="1">
      <x:alignment vertical="top" wrapText="1"/>
    </x:xf>
    <x:xf numFmtId="0" fontId="14" fillId="0" borderId="2" xfId="0" applyNumberFormat="1" applyFont="1" applyFill="1" applyBorder="1" applyAlignment="1">
      <x:alignment vertical="top" wrapText="1"/>
    </x:xf>
    <x:xf numFmtId="205" fontId="15" fillId="0" borderId="2" xfId="0" applyNumberFormat="1" applyFont="1" applyFill="1" applyBorder="1" applyAlignment="1">
      <x:alignment vertical="top" wrapText="1"/>
    </x:xf>
    <x:xf numFmtId="204" fontId="15" fillId="0" borderId="2" xfId="0" applyNumberFormat="1" applyFont="1" applyFill="1" applyBorder="1" applyAlignment="1">
      <x:alignment vertical="top" wrapText="1"/>
    </x:xf>
    <x:xf numFmtId="205" fontId="13" fillId="0" borderId="2" xfId="0" applyNumberFormat="1" applyFont="1" applyFill="1" applyBorder="1" applyAlignment="1">
      <x:alignment vertical="top" wrapText="1"/>
    </x:xf>
    <x:xf numFmtId="204" fontId="13" fillId="0" borderId="2" xfId="0" applyNumberFormat="1" applyFont="1" applyFill="1" applyBorder="1" applyAlignment="1">
      <x:alignment vertical="top" wrapText="1"/>
    </x:xf>
    <x:xf numFmtId="207" fontId="13" fillId="0" borderId="2" xfId="0" applyNumberFormat="1" applyFont="1" applyFill="1" applyBorder="1" applyAlignment="1">
      <x:alignment vertical="top" wrapText="1"/>
    </x:xf>
    <x:xf numFmtId="0" fontId="13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fe67445db744b9" /><Relationship Type="http://schemas.openxmlformats.org/officeDocument/2006/relationships/theme" Target="/xl/theme/theme1.xml" Id="Rc109d5fce62b4a18" /><Relationship Type="http://schemas.openxmlformats.org/officeDocument/2006/relationships/sharedStrings" Target="/xl/sharedStrings.xml" Id="R256a09aa34c045db" /><Relationship Type="http://schemas.openxmlformats.org/officeDocument/2006/relationships/worksheet" Target="/xl/worksheets/sheet1.xml" Id="Rbdaed228ad304437" /><Relationship Type="http://schemas.openxmlformats.org/officeDocument/2006/relationships/worksheet" Target="/xl/worksheets/sheet2.xml" Id="R97ff3e9aeee4400f" /><Relationship Type="http://schemas.openxmlformats.org/officeDocument/2006/relationships/worksheet" Target="/xl/worksheets/sheet3.xml" Id="R455abe2a48c2406b" /><Relationship Type="http://schemas.openxmlformats.org/officeDocument/2006/relationships/worksheet" Target="/xl/worksheets/sheet4.xml" Id="Rdca67a029dc745d4" /><Relationship Type="http://schemas.openxmlformats.org/officeDocument/2006/relationships/worksheet" Target="/xl/worksheets/sheet5.xml" Id="R34eec5e64ef649df" /><Relationship Type="http://schemas.openxmlformats.org/officeDocument/2006/relationships/worksheet" Target="/xl/worksheets/sheet6.xml" Id="Rb6d7d49b089d49c6" /><Relationship Type="http://schemas.openxmlformats.org/officeDocument/2006/relationships/worksheet" Target="/xl/worksheets/sheet7.xml" Id="R07bd83d2516a451c" /><Relationship Type="http://schemas.openxmlformats.org/officeDocument/2006/relationships/worksheet" Target="/xl/worksheets/sheet8.xml" Id="R4174f447e9a94406" /><Relationship Type="http://schemas.openxmlformats.org/officeDocument/2006/relationships/worksheet" Target="/xl/worksheets/sheet9.xml" Id="Re3e10b4119fb471f" /><Relationship Type="http://schemas.openxmlformats.org/officeDocument/2006/relationships/worksheet" Target="/xl/worksheets/sheet10.xml" Id="R6fedb31c88884ddb" /><Relationship Type="http://schemas.openxmlformats.org/officeDocument/2006/relationships/worksheet" Target="/xl/worksheets/sheet11.xml" Id="Reeab9cf948e840ec" /><Relationship Type="http://schemas.openxmlformats.org/officeDocument/2006/relationships/worksheet" Target="/xl/worksheets/sheet12.xml" Id="R45e825cdeeae48f6" /><Relationship Type="http://schemas.openxmlformats.org/officeDocument/2006/relationships/worksheet" Target="/xl/worksheets/sheet13.xml" Id="R945f38c748424ec9" /><Relationship Type="http://schemas.openxmlformats.org/officeDocument/2006/relationships/worksheet" Target="/xl/worksheets/sheet14.xml" Id="R2d5deb90e1e64ae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fdb9e60ac294d68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adc5e668455f4ae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MRR по тарифам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Starter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'MRR'!$O$5:$O$16</c:f>
              <c:strCache>
                <c:ptCount val="0"/>
              </c:strCache>
            </c:strRef>
          </c:cat>
          <c:val>
            <c:numRef>
              <c:f>'MRR'!$P$5:$P$16</c:f>
              <c:numCache>
                <c:formatCode>#,##0 "₽";[Red]-#,##0 "₽";-</c:formatCode>
                <c:ptCount val="0"/>
              </c:numCache>
            </c:numRef>
          </c:val>
          <c:smooth val="0"/>
        </c:ser>
        <c:ser>
          <c:idx val="1"/>
          <c:order val="1"/>
          <c:tx>
            <c:v>Pro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'MRR'!$O$5:$O$16</c:f>
              <c:strCache>
                <c:ptCount val="0"/>
              </c:strCache>
            </c:strRef>
          </c:cat>
          <c:val>
            <c:numRef>
              <c:f>'MRR'!$Q$5:$Q$16</c:f>
              <c:numCache>
                <c:formatCode>#,##0 "₽";[Red]-#,##0 "₽";-</c:formatCode>
                <c:ptCount val="0"/>
              </c:numCache>
            </c:numRef>
          </c:val>
          <c:smooth val="0"/>
        </c:ser>
        <c:ser>
          <c:idx val="2"/>
          <c:order val="2"/>
          <c:tx>
            <c:v>MAX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'MRR'!$O$5:$O$16</c:f>
              <c:strCache>
                <c:ptCount val="0"/>
              </c:strCache>
            </c:strRef>
          </c:cat>
          <c:val>
            <c:numRef>
              <c:f>'MRR'!$R$5:$R$16</c:f>
              <c:numCache>
                <c:formatCode>#,##0 "₽";[Red]-#,##0 "₽";-</c:formatCode>
                <c:ptCount val="0"/>
              </c:numCache>
            </c:numRef>
          </c:val>
          <c:smooth val="0"/>
        </c:ser>
        <c:ser>
          <c:idx val="3"/>
          <c:order val="3"/>
          <c:tx>
            <c:v>Total MRR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'MRR'!$O$5:$O$16</c:f>
              <c:strCache>
                <c:ptCount val="0"/>
              </c:strCache>
            </c:strRef>
          </c:cat>
          <c:val>
            <c:numRef>
              <c:f>'MRR'!$S$5:$S$16</c:f>
              <c:numCache>
                <c:formatCode>#,##0 "₽";[Red]-#,##0 "₽";-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 &quot;₽&quot;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Revenue / EBITDA / Net Profit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Revenue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'Прогноз прибыли'!$O$19:$O$30</c:f>
              <c:strCache>
                <c:ptCount val="0"/>
              </c:strCache>
            </c:strRef>
          </c:cat>
          <c:val>
            <c:numRef>
              <c:f>'Прогноз прибыли'!$P$19:$P$30</c:f>
              <c:numCache>
                <c:formatCode>#,##0 "₽";[Red]-#,##0 "₽";-</c:formatCode>
                <c:ptCount val="0"/>
              </c:numCache>
            </c:numRef>
          </c:val>
          <c:smooth val="0"/>
        </c:ser>
        <c:ser>
          <c:idx val="1"/>
          <c:order val="1"/>
          <c:tx>
            <c:v>EBITDA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'Прогноз прибыли'!$O$19:$O$30</c:f>
              <c:strCache>
                <c:ptCount val="0"/>
              </c:strCache>
            </c:strRef>
          </c:cat>
          <c:val>
            <c:numRef>
              <c:f>'Прогноз прибыли'!$Q$19:$Q$30</c:f>
              <c:numCache>
                <c:formatCode>#,##0 "₽";[Red]-#,##0 "₽";-</c:formatCode>
                <c:ptCount val="0"/>
              </c:numCache>
            </c:numRef>
          </c:val>
          <c:smooth val="0"/>
        </c:ser>
        <c:ser>
          <c:idx val="2"/>
          <c:order val="2"/>
          <c:tx>
            <c:v>Net Profit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'Прогноз прибыли'!$O$19:$O$30</c:f>
              <c:strCache>
                <c:ptCount val="0"/>
              </c:strCache>
            </c:strRef>
          </c:cat>
          <c:val>
            <c:numRef>
              <c:f>'Прогноз прибыли'!$R$19:$R$30</c:f>
              <c:numCache>
                <c:formatCode>#,##0 "₽";[Red]-#,##0 "₽";-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 &quot;₽&quot;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14</xdr:col>
      <xdr:colOff>0</xdr:colOff>
      <xdr:row>17</xdr:row>
      <xdr:rowOff>0</xdr:rowOff>
    </xdr:from>
    <xdr:to>
      <xdr:col>22</xdr:col>
      <xdr:colOff>0</xdr:colOff>
      <xdr:row>36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fdb9e60ac294d6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14</xdr:col>
      <xdr:colOff>0</xdr:colOff>
      <xdr:row>31</xdr:row>
      <xdr:rowOff>0</xdr:rowOff>
    </xdr:from>
    <xdr:to>
      <xdr:col>22</xdr:col>
      <xdr:colOff>0</xdr:colOff>
      <xdr:row>50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dc5e668455f4ae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e367c5e3568e463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2.xml" Id="Racd99483c0784ac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" hidden="0" customWidth="1"/>
    <x:col min="2" max="2" width="16.25" hidden="0" customWidth="1"/>
    <x:col min="3" max="3" width="11.880000114440918" hidden="0" customWidth="1"/>
    <x:col min="4" max="4" width="41.25" hidden="0" customWidth="1"/>
    <x:col min="6" max="6" width="13.75" hidden="0" customWidth="1"/>
    <x:col min="7" max="7" width="11.25" hidden="0" customWidth="1"/>
    <x:col min="8" max="8" width="15" hidden="0" customWidth="1"/>
    <x:col min="9" max="9" width="15" hidden="0" customWidth="1"/>
    <x:col min="10" max="10" width="26.25" hidden="0" customWidth="1"/>
    <x:col min="11" max="11" width="32.5" hidden="0" customWidth="1"/>
  </x:cols>
  <x:sheetData>
    <x:row r="1" ht="25.5" customHeight="1">
      <x:c r="A1" s="41" t="str">
        <x:v>Prompts Vault: исходные данные финансовой модели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</x:row>
    <x:row r="2" ht="22.5" customHeight="1">
      <x:c r="A2" s="43" t="str">
        <x:v>Желтые/синие ячейки — редактируемые допущения. Черные ячейки — формулы. Зеленые ссылки — данные, протянутые из других листов.</x:v>
      </x:c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</x:row>
    <x:row r="3">
      <x:c r="A3" s="42"/>
      <x:c r="B3" s="42"/>
      <x:c r="C3" s="42"/>
      <x:c r="D3" s="42"/>
      <x:c r="E3" s="42"/>
      <x:c r="F3" s="42"/>
      <x:c r="G3" s="42"/>
      <x:c r="H3" s="42"/>
      <x:c r="I3" s="42"/>
      <x:c r="J3" s="42"/>
      <x:c r="K3" s="42"/>
      <x:c r="L3" s="42"/>
      <x:c r="M3" s="42"/>
    </x:row>
    <x:row r="4">
      <x:c r="A4" s="44" t="str">
        <x:v>Параметр</x:v>
      </x:c>
      <x:c r="B4" s="44" t="str">
        <x:v>Базовое значение</x:v>
      </x:c>
      <x:c r="C4" s="44" t="str">
        <x:v>Ед.</x:v>
      </x:c>
      <x:c r="D4" s="44" t="str">
        <x:v>Источник / комментарий</x:v>
      </x:c>
      <x:c r="E4" s="42"/>
      <x:c r="F4" s="44" t="str">
        <x:v>Тариф</x:v>
      </x:c>
      <x:c r="G4" s="44" t="str">
        <x:v>Stars</x:v>
      </x:c>
      <x:c r="H4" s="44" t="str">
        <x:v>Выручка, ₽</x:v>
      </x:c>
      <x:c r="I4" s="44" t="str">
        <x:v>AI-анализы/мес.</x:v>
      </x:c>
      <x:c r="J4" s="44" t="str">
        <x:v>Кому подходит</x:v>
      </x:c>
      <x:c r="K4" s="44" t="str">
        <x:v>Позиционирование</x:v>
      </x:c>
      <x:c r="L4" s="42"/>
      <x:c r="M4" s="42"/>
    </x:row>
    <x:row r="5">
      <x:c r="A5" s="45" t="str">
        <x:v>USD/RUB</x:v>
      </x:c>
      <x:c r="B5" s="46" t="n">
        <x:v>72.7479</x:v>
      </x:c>
      <x:c r="C5" s="45" t="str">
        <x:v>₽ за $1</x:v>
      </x:c>
      <x:c r="D5" s="45" t="str">
        <x:v>ЦБ РФ, курс на 18.06.2026; страница обновлена 17.06.2026</x:v>
      </x:c>
      <x:c r="E5" s="42"/>
      <x:c r="F5" s="45" t="str">
        <x:v>FREE</x:v>
      </x:c>
      <x:c r="G5" s="47" t="n">
        <x:v>0</x:v>
      </x:c>
      <x:c r="H5" s="48" t="n">
        <x:f>G5*$B$7</x:f>
        <x:v>0</x:v>
      </x:c>
      <x:c r="I5" s="49" t="n">
        <x:f>$B$15</x:f>
        <x:v>2</x:v>
      </x:c>
      <x:c r="J5" s="45" t="str">
        <x:v>Новички</x:v>
      </x:c>
      <x:c r="K5" s="45" t="str">
        <x:v>Попробовать сервис и получить первый результат</x:v>
      </x:c>
      <x:c r="L5" s="42"/>
      <x:c r="M5" s="42"/>
    </x:row>
    <x:row r="6">
      <x:c r="A6" s="45" t="str">
        <x:v>Вознаграждение разработчика за 1 Telegram Star</x:v>
      </x:c>
      <x:c r="B6" s="50" t="n">
        <x:v>0.013</x:v>
      </x:c>
      <x:c r="C6" s="45" t="str">
        <x:v>USD/Star</x:v>
      </x:c>
      <x:c r="D6" s="45" t="str">
        <x:v>Telegram Bot Platform Developer Terms: 0.013 USD rewards per Star</x:v>
      </x:c>
      <x:c r="E6" s="42"/>
      <x:c r="F6" s="45" t="str">
        <x:v>STARTER</x:v>
      </x:c>
      <x:c r="G6" s="47" t="n">
        <x:v>100</x:v>
      </x:c>
      <x:c r="H6" s="48" t="n">
        <x:f>G6*$B$7</x:f>
        <x:v>94.57227</x:v>
      </x:c>
      <x:c r="I6" s="49" t="n">
        <x:f>$B$16</x:f>
        <x:v>25</x:v>
      </x:c>
      <x:c r="J6" s="45" t="str">
        <x:v>Первые платящие</x:v>
      </x:c>
      <x:c r="K6" s="45" t="str">
        <x:v>Недорогой вход и проверка ценности</x:v>
      </x:c>
      <x:c r="L6" s="42"/>
      <x:c r="M6" s="42"/>
    </x:row>
    <x:row r="7">
      <x:c r="A7" s="45" t="str">
        <x:v>Выручка за 1 Star</x:v>
      </x:c>
      <x:c r="B7" s="51" t="n">
        <x:f>B5*B6</x:f>
        <x:v>0.9457227</x:v>
      </x:c>
      <x:c r="C7" s="45" t="str">
        <x:v>₽/Star</x:v>
      </x:c>
      <x:c r="D7" s="45" t="str">
        <x:v>Формула: USD/RUB × 0.013</x:v>
      </x:c>
      <x:c r="E7" s="42"/>
      <x:c r="F7" s="45" t="str">
        <x:v>PRO</x:v>
      </x:c>
      <x:c r="G7" s="47" t="n">
        <x:v>200</x:v>
      </x:c>
      <x:c r="H7" s="48" t="n">
        <x:f>G7*$B$7</x:f>
        <x:v>189.14454</x:v>
      </x:c>
      <x:c r="I7" s="49" t="n">
        <x:f>$B$17</x:f>
        <x:v>70</x:v>
      </x:c>
      <x:c r="J7" s="45" t="str">
        <x:v>Регулярные пользователи</x:v>
      </x:c>
      <x:c r="K7" s="45" t="str">
        <x:v>Основной тариф: работа, учеба, контент</x:v>
      </x:c>
      <x:c r="L7" s="42"/>
      <x:c r="M7" s="42"/>
    </x:row>
    <x:row r="8">
      <x:c r="A8" s="45" t="str">
        <x:v>Горизонт прогноза</x:v>
      </x:c>
      <x:c r="B8" s="47" t="n">
        <x:v>12</x:v>
      </x:c>
      <x:c r="C8" s="45" t="str">
        <x:v>мес.</x:v>
      </x:c>
      <x:c r="D8" s="45" t="str">
        <x:v>12 месяцев</x:v>
      </x:c>
      <x:c r="E8" s="42"/>
      <x:c r="F8" s="45" t="str">
        <x:v>MAX</x:v>
      </x:c>
      <x:c r="G8" s="47" t="n">
        <x:v>400</x:v>
      </x:c>
      <x:c r="H8" s="48" t="n">
        <x:f>G8*$B$7</x:f>
        <x:v>378.28908</x:v>
      </x:c>
      <x:c r="I8" s="49" t="n">
        <x:f>$B$18</x:f>
        <x:v>150</x:v>
      </x:c>
      <x:c r="J8" s="45" t="str">
        <x:v>Активные пользователи</x:v>
      </x:c>
      <x:c r="K8" s="45" t="str">
        <x:v>Больше лимитов, история, продвинутые сценарии</x:v>
      </x:c>
      <x:c r="L8" s="42"/>
      <x:c r="M8" s="42"/>
    </x:row>
    <x:row r="9">
      <x:c r="A9" s="45" t="str">
        <x:v>Входные токены на 1 AI-анализ</x:v>
      </x:c>
      <x:c r="B9" s="47" t="n">
        <x:v>1200</x:v>
      </x:c>
      <x:c r="C9" s="45" t="str">
        <x:v>tokens</x:v>
      </x:c>
      <x:c r="D9" s="45" t="str">
        <x:v>Средний запрос пользователя + системный промпт</x:v>
      </x:c>
      <x:c r="E9" s="42"/>
      <x:c r="F9" s="42"/>
      <x:c r="G9" s="42"/>
      <x:c r="H9" s="42"/>
      <x:c r="I9" s="42"/>
      <x:c r="J9" s="42"/>
      <x:c r="K9" s="42"/>
      <x:c r="L9" s="42"/>
      <x:c r="M9" s="42"/>
    </x:row>
    <x:row r="10">
      <x:c r="A10" s="45" t="str">
        <x:v>Выходные токены на 1 AI-анализ</x:v>
      </x:c>
      <x:c r="B10" s="47" t="n">
        <x:v>800</x:v>
      </x:c>
      <x:c r="C10" s="45" t="str">
        <x:v>tokens</x:v>
      </x:c>
      <x:c r="D10" s="45" t="str">
        <x:v>Оценка, ошибки, улучшенная версия</x:v>
      </x:c>
      <x:c r="E10" s="42"/>
      <x:c r="F10" s="42"/>
      <x:c r="G10" s="42"/>
      <x:c r="H10" s="42"/>
      <x:c r="I10" s="42"/>
      <x:c r="J10" s="42"/>
      <x:c r="K10" s="42"/>
      <x:c r="L10" s="42"/>
      <x:c r="M10" s="42"/>
    </x:row>
    <x:row r="11">
      <x:c r="A11" s="45" t="str">
        <x:v>Цена модели input</x:v>
      </x:c>
      <x:c r="B11" s="52" t="n">
        <x:v>0.75</x:v>
      </x:c>
      <x:c r="C11" s="45" t="str">
        <x:v>USD / 1M tokens</x:v>
      </x:c>
      <x:c r="D11" s="45" t="str">
        <x:v>OpenAI API pricing, gpt-5.4-mini standard</x:v>
      </x:c>
      <x:c r="E11" s="42"/>
      <x:c r="F11" s="44" t="str">
        <x:v>Сценарный коэффициент</x:v>
      </x:c>
      <x:c r="G11" s="44" t="str">
        <x:v>Пессимистичный</x:v>
      </x:c>
      <x:c r="H11" s="44" t="str">
        <x:v>Базовый</x:v>
      </x:c>
      <x:c r="I11" s="44" t="str">
        <x:v>Оптимистичный</x:v>
      </x:c>
      <x:c r="J11" s="44" t="str">
        <x:v>Комментарий</x:v>
      </x:c>
      <x:c r="K11" s="42"/>
      <x:c r="L11" s="42"/>
      <x:c r="M11" s="42"/>
    </x:row>
    <x:row r="12">
      <x:c r="A12" s="45" t="str">
        <x:v>Цена модели output</x:v>
      </x:c>
      <x:c r="B12" s="52" t="n">
        <x:v>4.5</x:v>
      </x:c>
      <x:c r="C12" s="45" t="str">
        <x:v>USD / 1M tokens</x:v>
      </x:c>
      <x:c r="D12" s="45" t="str">
        <x:v>OpenAI API pricing, gpt-5.4-mini standard</x:v>
      </x:c>
      <x:c r="E12" s="42"/>
      <x:c r="F12" s="45" t="str">
        <x:v>Трафик</x:v>
      </x:c>
      <x:c r="G12" s="53" t="n">
        <x:v>0.6</x:v>
      </x:c>
      <x:c r="H12" s="53" t="n">
        <x:v>1</x:v>
      </x:c>
      <x:c r="I12" s="53" t="n">
        <x:v>1.5</x:v>
      </x:c>
      <x:c r="J12" s="45" t="str">
        <x:v>Влияет на визиты сайта и старты бота</x:v>
      </x:c>
      <x:c r="K12" s="42"/>
      <x:c r="L12" s="42"/>
      <x:c r="M12" s="42"/>
    </x:row>
    <x:row r="13">
      <x:c r="A13" s="45" t="str">
        <x:v>Коэффициент запаса AI-cost</x:v>
      </x:c>
      <x:c r="B13" s="47" t="n">
        <x:v>1.5</x:v>
      </x:c>
      <x:c r="C13" s="45" t="str">
        <x:v>x</x:v>
      </x:c>
      <x:c r="D13" s="45" t="str">
        <x:v>Повторы, retries, модерация, системные накладные расходы</x:v>
      </x:c>
      <x:c r="E13" s="42"/>
      <x:c r="F13" s="45" t="str">
        <x:v>Конверсии</x:v>
      </x:c>
      <x:c r="G13" s="53" t="n">
        <x:v>0.65</x:v>
      </x:c>
      <x:c r="H13" s="53" t="n">
        <x:v>1</x:v>
      </x:c>
      <x:c r="I13" s="53" t="n">
        <x:v>1.35</x:v>
      </x:c>
      <x:c r="J13" s="45" t="str">
        <x:v>Влияет на site→bot, активацию и оплаты</x:v>
      </x:c>
      <x:c r="K13" s="42"/>
      <x:c r="L13" s="42"/>
      <x:c r="M13" s="42"/>
    </x:row>
    <x:row r="14">
      <x:c r="A14" s="45" t="str">
        <x:v>AI cost за 1 анализ</x:v>
      </x:c>
      <x:c r="B14" s="54" t="n">
        <x:f>((B9/1000000)*B11+(B10/1000000)*B12)*B5*B13</x:f>
        <x:v>0.49104832500000006</x:v>
      </x:c>
      <x:c r="C14" s="45" t="str">
        <x:v>₽</x:v>
      </x:c>
      <x:c r="D14" s="45" t="str">
        <x:v>Формула через токены, курс и коэффициент запаса</x:v>
      </x:c>
      <x:c r="E14" s="42"/>
      <x:c r="F14" s="45" t="str">
        <x:v>Churn</x:v>
      </x:c>
      <x:c r="G14" s="53" t="n">
        <x:v>1.35</x:v>
      </x:c>
      <x:c r="H14" s="53" t="n">
        <x:v>1</x:v>
      </x:c>
      <x:c r="I14" s="53" t="n">
        <x:v>0.75</x:v>
      </x:c>
      <x:c r="J14" s="45" t="str">
        <x:v>Меньше — лучше удержание</x:v>
      </x:c>
      <x:c r="K14" s="42"/>
      <x:c r="L14" s="42"/>
      <x:c r="M14" s="42"/>
    </x:row>
    <x:row r="15">
      <x:c r="A15" s="45" t="str">
        <x:v>Free: анализов на активного пользователя</x:v>
      </x:c>
      <x:c r="B15" s="47" t="n">
        <x:v>2</x:v>
      </x:c>
      <x:c r="C15" s="45" t="str">
        <x:v>анализов/мес.</x:v>
      </x:c>
      <x:c r="D15" s="45" t="str">
        <x:v>Ограниченный бесплатный доступ</x:v>
      </x:c>
      <x:c r="E15" s="42"/>
      <x:c r="F15" s="45" t="str">
        <x:v>Маркетинг</x:v>
      </x:c>
      <x:c r="G15" s="53" t="n">
        <x:v>0.75</x:v>
      </x:c>
      <x:c r="H15" s="53" t="n">
        <x:v>1</x:v>
      </x:c>
      <x:c r="I15" s="53" t="n">
        <x:v>1.4</x:v>
      </x:c>
      <x:c r="J15" s="45" t="str">
        <x:v>Сколько тратим на рост</x:v>
      </x:c>
      <x:c r="K15" s="42"/>
      <x:c r="L15" s="42"/>
      <x:c r="M15" s="42"/>
    </x:row>
    <x:row r="16">
      <x:c r="A16" s="45" t="str">
        <x:v>Starter: анализов на пользователя</x:v>
      </x:c>
      <x:c r="B16" s="47" t="n">
        <x:v>25</x:v>
      </x:c>
      <x:c r="C16" s="45" t="str">
        <x:v>анализов/мес.</x:v>
      </x:c>
      <x:c r="D16" s="45" t="str">
        <x:v>Легкий платный тариф</x:v>
      </x:c>
      <x:c r="E16" s="42"/>
      <x:c r="F16" s="45" t="str">
        <x:v>ARPU</x:v>
      </x:c>
      <x:c r="G16" s="53" t="n">
        <x:v>0.95</x:v>
      </x:c>
      <x:c r="H16" s="53" t="n">
        <x:v>1</x:v>
      </x:c>
      <x:c r="I16" s="53" t="n">
        <x:v>1.05</x:v>
      </x:c>
      <x:c r="J16" s="45" t="str">
        <x:v>Сдвиг тарифного микса и допродаж</x:v>
      </x:c>
      <x:c r="K16" s="42"/>
      <x:c r="L16" s="42"/>
      <x:c r="M16" s="42"/>
    </x:row>
    <x:row r="17">
      <x:c r="A17" s="45" t="str">
        <x:v>Pro: анализов на пользователя</x:v>
      </x:c>
      <x:c r="B17" s="47" t="n">
        <x:v>70</x:v>
      </x:c>
      <x:c r="C17" s="45" t="str">
        <x:v>анализов/мес.</x:v>
      </x:c>
      <x:c r="D17" s="45" t="str">
        <x:v>Основной тариф</x:v>
      </x:c>
      <x:c r="E17" s="42"/>
      <x:c r="F17" s="45" t="str">
        <x:v>Fixed OPEX</x:v>
      </x:c>
      <x:c r="G17" s="53" t="n">
        <x:v>0.9</x:v>
      </x:c>
      <x:c r="H17" s="53" t="n">
        <x:v>1</x:v>
      </x:c>
      <x:c r="I17" s="53" t="n">
        <x:v>1.15</x:v>
      </x:c>
      <x:c r="J17" s="45" t="str">
        <x:v>Команда, контент, админ, инфраструктура</x:v>
      </x:c>
      <x:c r="K17" s="42"/>
      <x:c r="L17" s="42"/>
      <x:c r="M17" s="42"/>
    </x:row>
    <x:row r="18">
      <x:c r="A18" s="45" t="str">
        <x:v>MAX: анализов на пользователя</x:v>
      </x:c>
      <x:c r="B18" s="47" t="n">
        <x:v>150</x:v>
      </x:c>
      <x:c r="C18" s="45" t="str">
        <x:v>анализов/мес.</x:v>
      </x:c>
      <x:c r="D18" s="45" t="str">
        <x:v>Активные пользователи</x:v>
      </x:c>
      <x:c r="E18" s="42"/>
      <x:c r="F18" s="42"/>
      <x:c r="G18" s="42"/>
      <x:c r="H18" s="42"/>
      <x:c r="I18" s="42"/>
      <x:c r="J18" s="42"/>
      <x:c r="K18" s="42"/>
      <x:c r="L18" s="42"/>
      <x:c r="M18" s="42"/>
    </x:row>
    <x:row r="19">
      <x:c r="A19" s="45" t="str">
        <x:v>Поддержка на платного пользователя</x:v>
      </x:c>
      <x:c r="B19" s="47" t="n">
        <x:v>8</x:v>
      </x:c>
      <x:c r="C19" s="45" t="str">
        <x:v>₽/мес.</x:v>
      </x:c>
      <x:c r="D19" s="45" t="str">
        <x:v>Чаты, ответы, возвраты, ручные вопросы</x:v>
      </x:c>
      <x:c r="E19" s="42"/>
      <x:c r="F19" s="42"/>
      <x:c r="G19" s="42"/>
      <x:c r="H19" s="42"/>
      <x:c r="I19" s="42"/>
      <x:c r="J19" s="42"/>
      <x:c r="K19" s="42"/>
      <x:c r="L19" s="42"/>
      <x:c r="M19" s="42"/>
    </x:row>
    <x:row r="20">
      <x:c r="A20" s="45" t="str">
        <x:v>Модерация на платного пользователя</x:v>
      </x:c>
      <x:c r="B20" s="47" t="n">
        <x:v>3</x:v>
      </x:c>
      <x:c r="C20" s="45" t="str">
        <x:v>₽/мес.</x:v>
      </x:c>
      <x:c r="D20" s="45" t="str">
        <x:v>Проверка жалоб, промптов, спорных кейсов</x:v>
      </x:c>
      <x:c r="E20" s="42"/>
      <x:c r="F20" s="44" t="str">
        <x:v>Проверки модели</x:v>
      </x:c>
      <x:c r="G20" s="44" t="str">
        <x:v>Формула</x:v>
      </x:c>
      <x:c r="H20" s="44" t="str">
        <x:v>Статус</x:v>
      </x:c>
      <x:c r="I20" s="44" t="str">
        <x:v>Комментарий</x:v>
      </x:c>
      <x:c r="J20" s="44" t="str">
        <x:v>Что делать</x:v>
      </x:c>
      <x:c r="K20" s="42"/>
      <x:c r="L20" s="42"/>
      <x:c r="M20" s="42"/>
    </x:row>
    <x:row r="21">
      <x:c r="A21" s="45" t="str">
        <x:v>Домен / DNS / SSL</x:v>
      </x:c>
      <x:c r="B21" s="47" t="n">
        <x:v>250</x:v>
      </x:c>
      <x:c r="C21" s="45" t="str">
        <x:v>₽/мес.</x:v>
      </x:c>
      <x:c r="D21" s="45" t="str">
        <x:v>Годовой платеж разнесен по месяцам</x:v>
      </x:c>
      <x:c r="E21" s="42"/>
      <x:c r="F21" s="45" t="str">
        <x:v>Нет отрицательных платящих</x:v>
      </x:c>
      <x:c r="G21" s="45" t="str">
        <x:v>MIN('Конверсии по тарифам'!B25:M25)&gt;=0</x:v>
      </x:c>
      <x:c r="H21" s="45" t="str">
        <x:f>IF(MIN('Конверсии по тарифам'!B25:M25)&gt;=0,"OK","CHECK")</x:f>
        <x:v>OK</x:v>
      </x:c>
      <x:c r="I21" s="45" t="str">
        <x:v>Платная база не должна быть отрицательной</x:v>
      </x:c>
      <x:c r="J21" s="45" t="str">
        <x:v>Если ошибка — проверить churn/upgrades</x:v>
      </x:c>
      <x:c r="K21" s="42"/>
      <x:c r="L21" s="42"/>
      <x:c r="M21" s="42"/>
    </x:row>
    <x:row r="22">
      <x:c r="A22" s="45" t="str">
        <x:v>Хранение файлов и БД на старте</x:v>
      </x:c>
      <x:c r="B22" s="47" t="n">
        <x:v>700</x:v>
      </x:c>
      <x:c r="C22" s="45" t="str">
        <x:v>₽/мес.</x:v>
      </x:c>
      <x:c r="D22" s="45" t="str">
        <x:v>Рост через мультипликатор хранения</x:v>
      </x:c>
      <x:c r="E22" s="42"/>
      <x:c r="F22" s="45" t="str">
        <x:v>MRR = доходы</x:v>
      </x:c>
      <x:c r="G22" s="45" t="str">
        <x:v>SUM(MRR!B9:M9)=SUM(Доходы!B17:M17)</x:v>
      </x:c>
      <x:c r="H22" s="45" t="str">
        <x:f>IF(ABS(SUM('MRR'!B9:M9)-SUM('Доходы'!B17:M17))&lt;1,"OK","CHECK")</x:f>
        <x:v>OK</x:v>
      </x:c>
      <x:c r="I22" s="45" t="str">
        <x:v>MRR должен совпадать с выручкой</x:v>
      </x:c>
      <x:c r="J22" s="45" t="str">
        <x:v>Проверить листы Доходы/MRR</x:v>
      </x:c>
      <x:c r="K22" s="42"/>
      <x:c r="L22" s="42"/>
      <x:c r="M22" s="42"/>
    </x:row>
    <x:row r="23">
      <x:c r="A23" s="45" t="str">
        <x:v>Серверы на старте</x:v>
      </x:c>
      <x:c r="B23" s="47" t="n">
        <x:v>3000</x:v>
      </x:c>
      <x:c r="C23" s="45" t="str">
        <x:v>₽/мес.</x:v>
      </x:c>
      <x:c r="D23" s="45" t="str">
        <x:v>VPS/облако для MVP</x:v>
      </x:c>
      <x:c r="E23" s="42"/>
      <x:c r="F23" s="45" t="str">
        <x:v>Расходы положительные</x:v>
      </x:c>
      <x:c r="G23" s="45" t="str">
        <x:v>MIN(Расходы!B25:M25)&gt;0</x:v>
      </x:c>
      <x:c r="H23" s="45" t="str">
        <x:f>IF(MIN('Расходы'!B25:M25)&gt;0,"OK","CHECK")</x:f>
        <x:v>OK</x:v>
      </x:c>
      <x:c r="I23" s="45" t="str">
        <x:v>OPEX должен быть положительным</x:v>
      </x:c>
      <x:c r="J23" s="45" t="str">
        <x:v>Проверить расходы</x:v>
      </x:c>
      <x:c r="K23" s="42"/>
      <x:c r="L23" s="42"/>
      <x:c r="M23" s="42"/>
    </x:row>
    <x:row r="24">
      <x:c r="A24" s="45" t="str">
        <x:v>Налоговая ставка</x:v>
      </x:c>
      <x:c r="B24" s="55" t="n">
        <x:v>0.06</x:v>
      </x:c>
      <x:c r="C24" s="45" t="str">
        <x:v>% от выручки</x:v>
      </x:c>
      <x:c r="D24" s="45" t="str">
        <x:v>Оценка УСН 6%, заменить под фактический режим</x:v>
      </x:c>
      <x:c r="E24" s="42"/>
      <x:c r="F24" s="45" t="str">
        <x:v>Нет #DIV/0</x:v>
      </x:c>
      <x:c r="G24" s="45" t="str">
        <x:v>formula scan</x:v>
      </x:c>
      <x:c r="H24" s="45" t="str">
        <x:v>OK</x:v>
      </x:c>
      <x:c r="I24" s="45" t="str">
        <x:v>Формулы делят через IFERROR</x:v>
      </x:c>
      <x:c r="J24" s="45" t="str">
        <x:v>Проверить итоговый scan</x:v>
      </x:c>
      <x:c r="K24" s="42"/>
      <x:c r="L24" s="42"/>
      <x:c r="M24" s="42"/>
    </x:row>
    <x:row r="25">
      <x:c r="A25" s="45" t="str">
        <x:v>Резерв платежей/возвратов</x:v>
      </x:c>
      <x:c r="B25" s="55" t="n">
        <x:v>0.02</x:v>
      </x:c>
      <x:c r="C25" s="45" t="str">
        <x:v>% от выручки</x:v>
      </x:c>
      <x:c r="D25" s="45" t="str">
        <x:v>Запас на возвраты, колебание Stars, спорные операции</x:v>
      </x:c>
      <x:c r="E25" s="42"/>
      <x:c r="F25" s="45" t="str">
        <x:v>Источники заполнены</x:v>
      </x:c>
      <x:c r="G25" s="45" t="str">
        <x:v>COUNTA(A63:C71)&gt;0</x:v>
      </x:c>
      <x:c r="H25" s="45" t="str">
        <x:f>IF(COUNTA(A63:C71)&gt;0,"OK","CHECK")</x:f>
        <x:v>OK</x:v>
      </x:c>
      <x:c r="I25" s="45" t="str">
        <x:v>Источники рынка и тарифов</x:v>
      </x:c>
      <x:c r="J25" s="45" t="str">
        <x:v>Дополнить при защите</x:v>
      </x:c>
      <x:c r="K25" s="42"/>
      <x:c r="L25" s="42"/>
      <x:c r="M25" s="42"/>
    </x:row>
    <x:row r="26">
      <x:c r="A26" s="45" t="str">
        <x:v>Дополнительные продажи токенов</x:v>
      </x:c>
      <x:c r="B26" s="55" t="n">
        <x:v>0.05</x:v>
      </x:c>
      <x:c r="C26" s="45" t="str">
        <x:v>% от подписочной выручки</x:v>
      </x:c>
      <x:c r="D26" s="45" t="str">
        <x:v>Upsell токенов / пакетов после запуска</x:v>
      </x:c>
      <x:c r="E26" s="42"/>
      <x:c r="F26" s="42"/>
      <x:c r="G26" s="42"/>
      <x:c r="H26" s="42"/>
      <x:c r="I26" s="42"/>
      <x:c r="J26" s="42"/>
      <x:c r="K26" s="42"/>
      <x:c r="L26" s="42"/>
      <x:c r="M26" s="42"/>
    </x:row>
    <x:row r="27">
      <x:c r="A27" s="45" t="str">
        <x:v>Free churn</x:v>
      </x:c>
      <x:c r="B27" s="55" t="n">
        <x:v>0.35</x:v>
      </x:c>
      <x:c r="C27" s="45" t="str">
        <x:v>%/мес.</x:v>
      </x:c>
      <x:c r="D27" s="45" t="str">
        <x:v>Высокий отток бесплатных пользователей на раннем этапе</x:v>
      </x:c>
      <x:c r="E27" s="42"/>
      <x:c r="F27" s="42"/>
      <x:c r="G27" s="42"/>
      <x:c r="H27" s="42"/>
      <x:c r="I27" s="42"/>
      <x:c r="J27" s="42"/>
      <x:c r="K27" s="42"/>
      <x:c r="L27" s="42"/>
      <x:c r="M27" s="42"/>
    </x:row>
    <x:row r="28">
      <x:c r="A28" s="42"/>
      <x:c r="B28" s="42"/>
      <x:c r="C28" s="42"/>
      <x:c r="D28" s="42"/>
      <x:c r="E28" s="42"/>
      <x:c r="F28" s="42"/>
      <x:c r="G28" s="42"/>
      <x:c r="H28" s="42"/>
      <x:c r="I28" s="42"/>
      <x:c r="J28" s="42"/>
      <x:c r="K28" s="42"/>
      <x:c r="L28" s="42"/>
      <x:c r="M28" s="42"/>
    </x:row>
    <x:row r="29">
      <x:c r="A29" s="42"/>
      <x:c r="B29" s="42"/>
      <x:c r="C29" s="42"/>
      <x:c r="D29" s="42"/>
      <x:c r="E29" s="42"/>
      <x:c r="F29" s="42"/>
      <x:c r="G29" s="42"/>
      <x:c r="H29" s="42"/>
      <x:c r="I29" s="42"/>
      <x:c r="J29" s="42"/>
      <x:c r="K29" s="42"/>
      <x:c r="L29" s="42"/>
      <x:c r="M29" s="42"/>
    </x:row>
    <x:row r="30">
      <x:c r="A30" s="44" t="str">
        <x:v>Рынок / аудитория</x:v>
      </x:c>
      <x:c r="B30" s="44" t="str">
        <x:v>Оценка</x:v>
      </x:c>
      <x:c r="C30" s="44" t="str">
        <x:v>Ед.</x:v>
      </x:c>
      <x:c r="D30" s="44" t="str">
        <x:v>Источник / логика</x:v>
      </x:c>
      <x:c r="E30" s="42"/>
      <x:c r="F30" s="42"/>
      <x:c r="G30" s="42"/>
      <x:c r="H30" s="42"/>
      <x:c r="I30" s="42"/>
      <x:c r="J30" s="42"/>
      <x:c r="K30" s="42"/>
      <x:c r="L30" s="42"/>
      <x:c r="M30" s="42"/>
    </x:row>
    <x:row r="31">
      <x:c r="A31" s="45" t="str">
        <x:v>TAM: глобальный рынок AI</x:v>
      </x:c>
      <x:c r="B31" s="49" t="n">
        <x:v>539.5</x:v>
      </x:c>
      <x:c r="C31" s="45" t="str">
        <x:v>млрд USD, 2026</x:v>
      </x:c>
      <x:c r="D31" s="45" t="str">
        <x:v>Grand View Research: AI market estimate 2026</x:v>
      </x:c>
      <x:c r="E31" s="42"/>
      <x:c r="F31" s="42"/>
      <x:c r="G31" s="42"/>
      <x:c r="H31" s="42"/>
      <x:c r="I31" s="42"/>
      <x:c r="J31" s="42"/>
      <x:c r="K31" s="42"/>
      <x:c r="L31" s="42"/>
      <x:c r="M31" s="42"/>
    </x:row>
    <x:row r="32">
      <x:c r="A32" s="45" t="str">
        <x:v>TAM: prompt engineering</x:v>
      </x:c>
      <x:c r="B32" s="49" t="n">
        <x:v>1.49</x:v>
      </x:c>
      <x:c r="C32" s="45" t="str">
        <x:v>млрд USD, 2026</x:v>
      </x:c>
      <x:c r="D32" s="45" t="str">
        <x:v>Research and Markets: Prompt Engineering Market 2026</x:v>
      </x:c>
      <x:c r="E32" s="42"/>
      <x:c r="F32" s="42"/>
      <x:c r="G32" s="42"/>
      <x:c r="H32" s="42"/>
      <x:c r="I32" s="42"/>
      <x:c r="J32" s="42"/>
      <x:c r="K32" s="42"/>
      <x:c r="L32" s="42"/>
      <x:c r="M32" s="42"/>
    </x:row>
    <x:row r="33">
      <x:c r="A33" s="45" t="str">
        <x:v>Telegram MAU</x:v>
      </x:c>
      <x:c r="B33" s="49" t="n">
        <x:v>1000000000</x:v>
      </x:c>
      <x:c r="C33" s="45" t="str">
        <x:v>пользователей</x:v>
      </x:c>
      <x:c r="D33" s="45" t="str">
        <x:v>TechCrunch со ссылкой на Павла Дурова, 2025</x:v>
      </x:c>
      <x:c r="E33" s="42"/>
      <x:c r="F33" s="42"/>
      <x:c r="G33" s="42"/>
      <x:c r="H33" s="42"/>
      <x:c r="I33" s="42"/>
      <x:c r="J33" s="42"/>
      <x:c r="K33" s="42"/>
      <x:c r="L33" s="42"/>
      <x:c r="M33" s="42"/>
    </x:row>
    <x:row r="34">
      <x:c r="A34" s="45" t="str">
        <x:v>Интернет-пользователи РФ</x:v>
      </x:c>
      <x:c r="B34" s="49" t="n">
        <x:v>136000000</x:v>
      </x:c>
      <x:c r="C34" s="45" t="str">
        <x:v>пользователей</x:v>
      </x:c>
      <x:c r="D34" s="45" t="str">
        <x:v>DataReportal Digital 2026 Russia</x:v>
      </x:c>
      <x:c r="E34" s="42"/>
      <x:c r="F34" s="42"/>
      <x:c r="G34" s="42"/>
      <x:c r="H34" s="42"/>
      <x:c r="I34" s="42"/>
      <x:c r="J34" s="42"/>
      <x:c r="K34" s="42"/>
      <x:c r="L34" s="42"/>
      <x:c r="M34" s="42"/>
    </x:row>
    <x:row r="35">
      <x:c r="A35" s="45" t="str">
        <x:v>Соцмедиа 18+ РФ</x:v>
      </x:c>
      <x:c r="B35" s="49" t="n">
        <x:v>91500000</x:v>
      </x:c>
      <x:c r="C35" s="45" t="str">
        <x:v>идентичностей</x:v>
      </x:c>
      <x:c r="D35" s="45" t="str">
        <x:v>DataReportal Digital 2026 Russia</x:v>
      </x:c>
      <x:c r="E35" s="42"/>
      <x:c r="F35" s="42"/>
      <x:c r="G35" s="42"/>
      <x:c r="H35" s="42"/>
      <x:c r="I35" s="42"/>
      <x:c r="J35" s="42"/>
      <x:c r="K35" s="42"/>
      <x:c r="L35" s="42"/>
      <x:c r="M35" s="42"/>
    </x:row>
    <x:row r="36">
      <x:c r="A36" s="45" t="str">
        <x:v>SAM: русскоязычные AI/productivity early adopters</x:v>
      </x:c>
      <x:c r="B36" s="56" t="n">
        <x:v>5000000</x:v>
      </x:c>
      <x:c r="C36" s="45" t="str">
        <x:v>пользователей</x:v>
      </x:c>
      <x:c r="D36" s="45" t="str">
        <x:v>Оценка: 3-5% интернет-аудитории РФ + СНГ</x:v>
      </x:c>
      <x:c r="E36" s="42"/>
      <x:c r="F36" s="42"/>
      <x:c r="G36" s="42"/>
      <x:c r="H36" s="42"/>
      <x:c r="I36" s="42"/>
      <x:c r="J36" s="42"/>
      <x:c r="K36" s="42"/>
      <x:c r="L36" s="42"/>
      <x:c r="M36" s="42"/>
    </x:row>
    <x:row r="37">
      <x:c r="A37" s="45" t="str">
        <x:v>SOM 12 мес.: достижимая активная аудитория</x:v>
      </x:c>
      <x:c r="B37" s="56" t="n">
        <x:v>30000</x:v>
      </x:c>
      <x:c r="C37" s="45" t="str">
        <x:v>активных пользователей</x:v>
      </x:c>
      <x:c r="D37" s="45" t="str">
        <x:v>Оценка по Telegram, SEO, коротким видео и партнерствам</x:v>
      </x:c>
      <x:c r="E37" s="42"/>
      <x:c r="F37" s="42"/>
      <x:c r="G37" s="42"/>
      <x:c r="H37" s="42"/>
      <x:c r="I37" s="42"/>
      <x:c r="J37" s="42"/>
      <x:c r="K37" s="42"/>
      <x:c r="L37" s="42"/>
      <x:c r="M37" s="42"/>
    </x:row>
    <x:row r="38">
      <x:c r="A38" s="42"/>
      <x:c r="B38" s="42"/>
      <x:c r="C38" s="42"/>
      <x:c r="D38" s="42"/>
      <x:c r="E38" s="42"/>
      <x:c r="F38" s="42"/>
      <x:c r="G38" s="42"/>
      <x:c r="H38" s="42"/>
      <x:c r="I38" s="42"/>
      <x:c r="J38" s="42"/>
      <x:c r="K38" s="42"/>
      <x:c r="L38" s="42"/>
      <x:c r="M38" s="42"/>
    </x:row>
    <x:row r="39">
      <x:c r="A39" s="42"/>
      <x:c r="B39" s="42"/>
      <x:c r="C39" s="42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</x:row>
    <x:row r="40">
      <x:c r="A40" s="42"/>
      <x:c r="B40" s="42"/>
      <x:c r="C40" s="42"/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</x:row>
    <x:row r="41">
      <x:c r="A41" s="42"/>
      <x:c r="B41" s="42"/>
      <x:c r="C41" s="42"/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</x:row>
    <x:row r="42">
      <x:c r="A42" s="44" t="str">
        <x:v>Драйверы по месяцам</x:v>
      </x:c>
      <x:c r="B42" s="44" t="str">
        <x:v>М1</x:v>
      </x:c>
      <x:c r="C42" s="44" t="str">
        <x:v>М2</x:v>
      </x:c>
      <x:c r="D42" s="44" t="str">
        <x:v>М3</x:v>
      </x:c>
      <x:c r="E42" s="44" t="str">
        <x:v>М4</x:v>
      </x:c>
      <x:c r="F42" s="44" t="str">
        <x:v>М5</x:v>
      </x:c>
      <x:c r="G42" s="44" t="str">
        <x:v>М6</x:v>
      </x:c>
      <x:c r="H42" s="44" t="str">
        <x:v>М7</x:v>
      </x:c>
      <x:c r="I42" s="44" t="str">
        <x:v>М8</x:v>
      </x:c>
      <x:c r="J42" s="44" t="str">
        <x:v>М9</x:v>
      </x:c>
      <x:c r="K42" s="44" t="str">
        <x:v>М10</x:v>
      </x:c>
      <x:c r="L42" s="44" t="str">
        <x:v>М11</x:v>
      </x:c>
      <x:c r="M42" s="44" t="str">
        <x:v>М12</x:v>
      </x:c>
    </x:row>
    <x:row r="43">
      <x:c r="A43" s="45" t="str">
        <x:v>Посетители сайта</x:v>
      </x:c>
      <x:c r="B43" s="56" t="n">
        <x:v>1500</x:v>
      </x:c>
      <x:c r="C43" s="56" t="n">
        <x:v>3000</x:v>
      </x:c>
      <x:c r="D43" s="56" t="n">
        <x:v>6000</x:v>
      </x:c>
      <x:c r="E43" s="56" t="n">
        <x:v>10000</x:v>
      </x:c>
      <x:c r="F43" s="56" t="n">
        <x:v>18000</x:v>
      </x:c>
      <x:c r="G43" s="56" t="n">
        <x:v>30000</x:v>
      </x:c>
      <x:c r="H43" s="56" t="n">
        <x:v>45000</x:v>
      </x:c>
      <x:c r="I43" s="56" t="n">
        <x:v>65000</x:v>
      </x:c>
      <x:c r="J43" s="56" t="n">
        <x:v>85000</x:v>
      </x:c>
      <x:c r="K43" s="56" t="n">
        <x:v>110000</x:v>
      </x:c>
      <x:c r="L43" s="56" t="n">
        <x:v>130000</x:v>
      </x:c>
      <x:c r="M43" s="56" t="n">
        <x:v>150000</x:v>
      </x:c>
    </x:row>
    <x:row r="44">
      <x:c r="A44" s="45" t="str">
        <x:v>Site → Bot</x:v>
      </x:c>
      <x:c r="B44" s="55" t="n">
        <x:v>0.22</x:v>
      </x:c>
      <x:c r="C44" s="55" t="n">
        <x:v>0.23</x:v>
      </x:c>
      <x:c r="D44" s="55" t="n">
        <x:v>0.24</x:v>
      </x:c>
      <x:c r="E44" s="55" t="n">
        <x:v>0.25</x:v>
      </x:c>
      <x:c r="F44" s="55" t="n">
        <x:v>0.26</x:v>
      </x:c>
      <x:c r="G44" s="55" t="n">
        <x:v>0.27</x:v>
      </x:c>
      <x:c r="H44" s="55" t="n">
        <x:v>0.28</x:v>
      </x:c>
      <x:c r="I44" s="55" t="n">
        <x:v>0.29</x:v>
      </x:c>
      <x:c r="J44" s="55" t="n">
        <x:v>0.3</x:v>
      </x:c>
      <x:c r="K44" s="55" t="n">
        <x:v>0.31</x:v>
      </x:c>
      <x:c r="L44" s="55" t="n">
        <x:v>0.32</x:v>
      </x:c>
      <x:c r="M44" s="55" t="n">
        <x:v>0.33</x:v>
      </x:c>
    </x:row>
    <x:row r="45">
      <x:c r="A45" s="45" t="str">
        <x:v>Bot start → первый AI-анализ</x:v>
      </x:c>
      <x:c r="B45" s="55" t="n">
        <x:v>0.35</x:v>
      </x:c>
      <x:c r="C45" s="55" t="n">
        <x:v>0.36</x:v>
      </x:c>
      <x:c r="D45" s="55" t="n">
        <x:v>0.37</x:v>
      </x:c>
      <x:c r="E45" s="55" t="n">
        <x:v>0.38</x:v>
      </x:c>
      <x:c r="F45" s="55" t="n">
        <x:v>0.39</x:v>
      </x:c>
      <x:c r="G45" s="55" t="n">
        <x:v>0.4</x:v>
      </x:c>
      <x:c r="H45" s="55" t="n">
        <x:v>0.41</x:v>
      </x:c>
      <x:c r="I45" s="55" t="n">
        <x:v>0.42</x:v>
      </x:c>
      <x:c r="J45" s="55" t="n">
        <x:v>0.43</x:v>
      </x:c>
      <x:c r="K45" s="55" t="n">
        <x:v>0.44</x:v>
      </x:c>
      <x:c r="L45" s="55" t="n">
        <x:v>0.45</x:v>
      </x:c>
      <x:c r="M45" s="55" t="n">
        <x:v>0.46</x:v>
      </x:c>
    </x:row>
    <x:row r="46">
      <x:c r="A46" s="45" t="str">
        <x:v>Free → Starter</x:v>
      </x:c>
      <x:c r="B46" s="55" t="n">
        <x:v>0.016</x:v>
      </x:c>
      <x:c r="C46" s="55" t="n">
        <x:v>0.018</x:v>
      </x:c>
      <x:c r="D46" s="55" t="n">
        <x:v>0.02</x:v>
      </x:c>
      <x:c r="E46" s="55" t="n">
        <x:v>0.021</x:v>
      </x:c>
      <x:c r="F46" s="55" t="n">
        <x:v>0.022</x:v>
      </x:c>
      <x:c r="G46" s="55" t="n">
        <x:v>0.024</x:v>
      </x:c>
      <x:c r="H46" s="55" t="n">
        <x:v>0.025</x:v>
      </x:c>
      <x:c r="I46" s="55" t="n">
        <x:v>0.027</x:v>
      </x:c>
      <x:c r="J46" s="55" t="n">
        <x:v>0.028</x:v>
      </x:c>
      <x:c r="K46" s="55" t="n">
        <x:v>0.03</x:v>
      </x:c>
      <x:c r="L46" s="55" t="n">
        <x:v>0.031</x:v>
      </x:c>
      <x:c r="M46" s="55" t="n">
        <x:v>0.032</x:v>
      </x:c>
    </x:row>
    <x:row r="47">
      <x:c r="A47" s="45" t="str">
        <x:v>Free → Pro direct</x:v>
      </x:c>
      <x:c r="B47" s="55" t="n">
        <x:v>0.005</x:v>
      </x:c>
      <x:c r="C47" s="55" t="n">
        <x:v>0.006</x:v>
      </x:c>
      <x:c r="D47" s="55" t="n">
        <x:v>0.007</x:v>
      </x:c>
      <x:c r="E47" s="55" t="n">
        <x:v>0.0075</x:v>
      </x:c>
      <x:c r="F47" s="55" t="n">
        <x:v>0.008</x:v>
      </x:c>
      <x:c r="G47" s="55" t="n">
        <x:v>0.0085</x:v>
      </x:c>
      <x:c r="H47" s="55" t="n">
        <x:v>0.009</x:v>
      </x:c>
      <x:c r="I47" s="55" t="n">
        <x:v>0.0095</x:v>
      </x:c>
      <x:c r="J47" s="55" t="n">
        <x:v>0.01</x:v>
      </x:c>
      <x:c r="K47" s="55" t="n">
        <x:v>0.0105</x:v>
      </x:c>
      <x:c r="L47" s="55" t="n">
        <x:v>0.011</x:v>
      </x:c>
      <x:c r="M47" s="55" t="n">
        <x:v>0.0115</x:v>
      </x:c>
    </x:row>
    <x:row r="48">
      <x:c r="A48" s="45" t="str">
        <x:v>Free → MAX direct</x:v>
      </x:c>
      <x:c r="B48" s="55" t="n">
        <x:v>0.0005</x:v>
      </x:c>
      <x:c r="C48" s="55" t="n">
        <x:v>0.0006</x:v>
      </x:c>
      <x:c r="D48" s="55" t="n">
        <x:v>0.0007</x:v>
      </x:c>
      <x:c r="E48" s="55" t="n">
        <x:v>0.0008</x:v>
      </x:c>
      <x:c r="F48" s="55" t="n">
        <x:v>0.0009</x:v>
      </x:c>
      <x:c r="G48" s="55" t="n">
        <x:v>0.001</x:v>
      </x:c>
      <x:c r="H48" s="55" t="n">
        <x:v>0.0011</x:v>
      </x:c>
      <x:c r="I48" s="55" t="n">
        <x:v>0.0012</x:v>
      </x:c>
      <x:c r="J48" s="55" t="n">
        <x:v>0.0013</x:v>
      </x:c>
      <x:c r="K48" s="55" t="n">
        <x:v>0.0014</x:v>
      </x:c>
      <x:c r="L48" s="55" t="n">
        <x:v>0.0015</x:v>
      </x:c>
      <x:c r="M48" s="55" t="n">
        <x:v>0.0016</x:v>
      </x:c>
    </x:row>
    <x:row r="49">
      <x:c r="A49" s="45" t="str">
        <x:v>Starter → Pro upgrade</x:v>
      </x:c>
      <x:c r="B49" s="55" t="n">
        <x:v>0.05</x:v>
      </x:c>
      <x:c r="C49" s="55" t="n">
        <x:v>0.06</x:v>
      </x:c>
      <x:c r="D49" s="55" t="n">
        <x:v>0.07</x:v>
      </x:c>
      <x:c r="E49" s="55" t="n">
        <x:v>0.08</x:v>
      </x:c>
      <x:c r="F49" s="55" t="n">
        <x:v>0.08</x:v>
      </x:c>
      <x:c r="G49" s="55" t="n">
        <x:v>0.08</x:v>
      </x:c>
      <x:c r="H49" s="55" t="n">
        <x:v>0.09</x:v>
      </x:c>
      <x:c r="I49" s="55" t="n">
        <x:v>0.09</x:v>
      </x:c>
      <x:c r="J49" s="55" t="n">
        <x:v>0.09</x:v>
      </x:c>
      <x:c r="K49" s="55" t="n">
        <x:v>0.1</x:v>
      </x:c>
      <x:c r="L49" s="55" t="n">
        <x:v>0.1</x:v>
      </x:c>
      <x:c r="M49" s="55" t="n">
        <x:v>0.1</x:v>
      </x:c>
    </x:row>
    <x:row r="50">
      <x:c r="A50" s="45" t="str">
        <x:v>Pro → MAX upgrade</x:v>
      </x:c>
      <x:c r="B50" s="55" t="n">
        <x:v>0.02</x:v>
      </x:c>
      <x:c r="C50" s="55" t="n">
        <x:v>0.02</x:v>
      </x:c>
      <x:c r="D50" s="55" t="n">
        <x:v>0.025</x:v>
      </x:c>
      <x:c r="E50" s="55" t="n">
        <x:v>0.025</x:v>
      </x:c>
      <x:c r="F50" s="55" t="n">
        <x:v>0.03</x:v>
      </x:c>
      <x:c r="G50" s="55" t="n">
        <x:v>0.03</x:v>
      </x:c>
      <x:c r="H50" s="55" t="n">
        <x:v>0.03</x:v>
      </x:c>
      <x:c r="I50" s="55" t="n">
        <x:v>0.035</x:v>
      </x:c>
      <x:c r="J50" s="55" t="n">
        <x:v>0.035</x:v>
      </x:c>
      <x:c r="K50" s="55" t="n">
        <x:v>0.035</x:v>
      </x:c>
      <x:c r="L50" s="55" t="n">
        <x:v>0.04</x:v>
      </x:c>
      <x:c r="M50" s="55" t="n">
        <x:v>0.04</x:v>
      </x:c>
    </x:row>
    <x:row r="51">
      <x:c r="A51" s="45" t="str">
        <x:v>Starter churn</x:v>
      </x:c>
      <x:c r="B51" s="55" t="n">
        <x:v>0.18</x:v>
      </x:c>
      <x:c r="C51" s="55" t="n">
        <x:v>0.17</x:v>
      </x:c>
      <x:c r="D51" s="55" t="n">
        <x:v>0.16</x:v>
      </x:c>
      <x:c r="E51" s="55" t="n">
        <x:v>0.15</x:v>
      </x:c>
      <x:c r="F51" s="55" t="n">
        <x:v>0.14</x:v>
      </x:c>
      <x:c r="G51" s="55" t="n">
        <x:v>0.13</x:v>
      </x:c>
      <x:c r="H51" s="55" t="n">
        <x:v>0.12</x:v>
      </x:c>
      <x:c r="I51" s="55" t="n">
        <x:v>0.12</x:v>
      </x:c>
      <x:c r="J51" s="55" t="n">
        <x:v>0.11</x:v>
      </x:c>
      <x:c r="K51" s="55" t="n">
        <x:v>0.11</x:v>
      </x:c>
      <x:c r="L51" s="55" t="n">
        <x:v>0.1</x:v>
      </x:c>
      <x:c r="M51" s="55" t="n">
        <x:v>0.1</x:v>
      </x:c>
    </x:row>
    <x:row r="52">
      <x:c r="A52" s="45" t="str">
        <x:v>Pro churn</x:v>
      </x:c>
      <x:c r="B52" s="55" t="n">
        <x:v>0.14</x:v>
      </x:c>
      <x:c r="C52" s="55" t="n">
        <x:v>0.13</x:v>
      </x:c>
      <x:c r="D52" s="55" t="n">
        <x:v>0.12</x:v>
      </x:c>
      <x:c r="E52" s="55" t="n">
        <x:v>0.12</x:v>
      </x:c>
      <x:c r="F52" s="55" t="n">
        <x:v>0.11</x:v>
      </x:c>
      <x:c r="G52" s="55" t="n">
        <x:v>0.1</x:v>
      </x:c>
      <x:c r="H52" s="55" t="n">
        <x:v>0.1</x:v>
      </x:c>
      <x:c r="I52" s="55" t="n">
        <x:v>0.09</x:v>
      </x:c>
      <x:c r="J52" s="55" t="n">
        <x:v>0.09</x:v>
      </x:c>
      <x:c r="K52" s="55" t="n">
        <x:v>0.09</x:v>
      </x:c>
      <x:c r="L52" s="55" t="n">
        <x:v>0.08</x:v>
      </x:c>
      <x:c r="M52" s="55" t="n">
        <x:v>0.08</x:v>
      </x:c>
    </x:row>
    <x:row r="53">
      <x:c r="A53" s="45" t="str">
        <x:v>MAX churn</x:v>
      </x:c>
      <x:c r="B53" s="55" t="n">
        <x:v>0.12</x:v>
      </x:c>
      <x:c r="C53" s="55" t="n">
        <x:v>0.11</x:v>
      </x:c>
      <x:c r="D53" s="55" t="n">
        <x:v>0.1</x:v>
      </x:c>
      <x:c r="E53" s="55" t="n">
        <x:v>0.1</x:v>
      </x:c>
      <x:c r="F53" s="55" t="n">
        <x:v>0.09</x:v>
      </x:c>
      <x:c r="G53" s="55" t="n">
        <x:v>0.08</x:v>
      </x:c>
      <x:c r="H53" s="55" t="n">
        <x:v>0.08</x:v>
      </x:c>
      <x:c r="I53" s="55" t="n">
        <x:v>0.07</x:v>
      </x:c>
      <x:c r="J53" s="55" t="n">
        <x:v>0.07</x:v>
      </x:c>
      <x:c r="K53" s="55" t="n">
        <x:v>0.07</x:v>
      </x:c>
      <x:c r="L53" s="55" t="n">
        <x:v>0.06</x:v>
      </x:c>
      <x:c r="M53" s="55" t="n">
        <x:v>0.06</x:v>
      </x:c>
    </x:row>
    <x:row r="54">
      <x:c r="A54" s="45" t="str">
        <x:v>Маркетинг</x:v>
      </x:c>
      <x:c r="B54" s="57" t="n">
        <x:v>20000</x:v>
      </x:c>
      <x:c r="C54" s="57" t="n">
        <x:v>35000</x:v>
      </x:c>
      <x:c r="D54" s="57" t="n">
        <x:v>50000</x:v>
      </x:c>
      <x:c r="E54" s="57" t="n">
        <x:v>70000</x:v>
      </x:c>
      <x:c r="F54" s="57" t="n">
        <x:v>90000</x:v>
      </x:c>
      <x:c r="G54" s="57" t="n">
        <x:v>110000</x:v>
      </x:c>
      <x:c r="H54" s="57" t="n">
        <x:v>130000</x:v>
      </x:c>
      <x:c r="I54" s="57" t="n">
        <x:v>150000</x:v>
      </x:c>
      <x:c r="J54" s="57" t="n">
        <x:v>170000</x:v>
      </x:c>
      <x:c r="K54" s="57" t="n">
        <x:v>190000</x:v>
      </x:c>
      <x:c r="L54" s="57" t="n">
        <x:v>210000</x:v>
      </x:c>
      <x:c r="M54" s="57" t="n">
        <x:v>240000</x:v>
      </x:c>
    </x:row>
    <x:row r="55">
      <x:c r="A55" s="45" t="str">
        <x:v>Разработка / продукт</x:v>
      </x:c>
      <x:c r="B55" s="57" t="n">
        <x:v>30000</x:v>
      </x:c>
      <x:c r="C55" s="57" t="n">
        <x:v>35000</x:v>
      </x:c>
      <x:c r="D55" s="57" t="n">
        <x:v>40000</x:v>
      </x:c>
      <x:c r="E55" s="57" t="n">
        <x:v>45000</x:v>
      </x:c>
      <x:c r="F55" s="57" t="n">
        <x:v>50000</x:v>
      </x:c>
      <x:c r="G55" s="57" t="n">
        <x:v>55000</x:v>
      </x:c>
      <x:c r="H55" s="57" t="n">
        <x:v>60000</x:v>
      </x:c>
      <x:c r="I55" s="57" t="n">
        <x:v>65000</x:v>
      </x:c>
      <x:c r="J55" s="57" t="n">
        <x:v>70000</x:v>
      </x:c>
      <x:c r="K55" s="57" t="n">
        <x:v>70000</x:v>
      </x:c>
      <x:c r="L55" s="57" t="n">
        <x:v>75000</x:v>
      </x:c>
      <x:c r="M55" s="57" t="n">
        <x:v>80000</x:v>
      </x:c>
    </x:row>
    <x:row r="56">
      <x:c r="A56" s="45" t="str">
        <x:v>Контент / комьюнити</x:v>
      </x:c>
      <x:c r="B56" s="57" t="n">
        <x:v>10000</x:v>
      </x:c>
      <x:c r="C56" s="57" t="n">
        <x:v>12000</x:v>
      </x:c>
      <x:c r="D56" s="57" t="n">
        <x:v>15000</x:v>
      </x:c>
      <x:c r="E56" s="57" t="n">
        <x:v>20000</x:v>
      </x:c>
      <x:c r="F56" s="57" t="n">
        <x:v>25000</x:v>
      </x:c>
      <x:c r="G56" s="57" t="n">
        <x:v>30000</x:v>
      </x:c>
      <x:c r="H56" s="57" t="n">
        <x:v>35000</x:v>
      </x:c>
      <x:c r="I56" s="57" t="n">
        <x:v>40000</x:v>
      </x:c>
      <x:c r="J56" s="57" t="n">
        <x:v>45000</x:v>
      </x:c>
      <x:c r="K56" s="57" t="n">
        <x:v>50000</x:v>
      </x:c>
      <x:c r="L56" s="57" t="n">
        <x:v>55000</x:v>
      </x:c>
      <x:c r="M56" s="57" t="n">
        <x:v>60000</x:v>
      </x:c>
    </x:row>
    <x:row r="57">
      <x:c r="A57" s="45" t="str">
        <x:v>Админ / бухгалтерия / юридическое</x:v>
      </x:c>
      <x:c r="B57" s="57" t="n">
        <x:v>5000</x:v>
      </x:c>
      <x:c r="C57" s="57" t="n">
        <x:v>5000</x:v>
      </x:c>
      <x:c r="D57" s="57" t="n">
        <x:v>5000</x:v>
      </x:c>
      <x:c r="E57" s="57" t="n">
        <x:v>7000</x:v>
      </x:c>
      <x:c r="F57" s="57" t="n">
        <x:v>7000</x:v>
      </x:c>
      <x:c r="G57" s="57" t="n">
        <x:v>10000</x:v>
      </x:c>
      <x:c r="H57" s="57" t="n">
        <x:v>10000</x:v>
      </x:c>
      <x:c r="I57" s="57" t="n">
        <x:v>12000</x:v>
      </x:c>
      <x:c r="J57" s="57" t="n">
        <x:v>12000</x:v>
      </x:c>
      <x:c r="K57" s="57" t="n">
        <x:v>15000</x:v>
      </x:c>
      <x:c r="L57" s="57" t="n">
        <x:v>15000</x:v>
      </x:c>
      <x:c r="M57" s="57" t="n">
        <x:v>20000</x:v>
      </x:c>
    </x:row>
    <x:row r="58">
      <x:c r="A58" s="45" t="str">
        <x:v>Мультипликатор серверов</x:v>
      </x:c>
      <x:c r="B58" s="58" t="n">
        <x:v>1</x:v>
      </x:c>
      <x:c r="C58" s="58" t="n">
        <x:v>1</x:v>
      </x:c>
      <x:c r="D58" s="58" t="n">
        <x:v>1</x:v>
      </x:c>
      <x:c r="E58" s="58" t="n">
        <x:v>1.5</x:v>
      </x:c>
      <x:c r="F58" s="58" t="n">
        <x:v>1.5</x:v>
      </x:c>
      <x:c r="G58" s="58" t="n">
        <x:v>2</x:v>
      </x:c>
      <x:c r="H58" s="58" t="n">
        <x:v>2.5</x:v>
      </x:c>
      <x:c r="I58" s="58" t="n">
        <x:v>3</x:v>
      </x:c>
      <x:c r="J58" s="58" t="n">
        <x:v>3.5</x:v>
      </x:c>
      <x:c r="K58" s="58" t="n">
        <x:v>4</x:v>
      </x:c>
      <x:c r="L58" s="58" t="n">
        <x:v>4.5</x:v>
      </x:c>
      <x:c r="M58" s="58" t="n">
        <x:v>5</x:v>
      </x:c>
    </x:row>
    <x:row r="59">
      <x:c r="A59" s="45" t="str">
        <x:v>Мультипликатор хранения</x:v>
      </x:c>
      <x:c r="B59" s="58" t="n">
        <x:v>1</x:v>
      </x:c>
      <x:c r="C59" s="58" t="n">
        <x:v>1.2</x:v>
      </x:c>
      <x:c r="D59" s="58" t="n">
        <x:v>1.5</x:v>
      </x:c>
      <x:c r="E59" s="58" t="n">
        <x:v>2</x:v>
      </x:c>
      <x:c r="F59" s="58" t="n">
        <x:v>2.5</x:v>
      </x:c>
      <x:c r="G59" s="58" t="n">
        <x:v>3</x:v>
      </x:c>
      <x:c r="H59" s="58" t="n">
        <x:v>4</x:v>
      </x:c>
      <x:c r="I59" s="58" t="n">
        <x:v>5</x:v>
      </x:c>
      <x:c r="J59" s="58" t="n">
        <x:v>6</x:v>
      </x:c>
      <x:c r="K59" s="58" t="n">
        <x:v>7</x:v>
      </x:c>
      <x:c r="L59" s="58" t="n">
        <x:v>8</x:v>
      </x:c>
      <x:c r="M59" s="58" t="n">
        <x:v>10</x:v>
      </x:c>
    </x:row>
    <x:row r="60">
      <x:c r="A60" s="42"/>
      <x:c r="B60" s="42"/>
      <x:c r="C60" s="42"/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</x:row>
    <x:row r="61">
      <x:c r="A61" s="42"/>
      <x:c r="B61" s="42"/>
      <x:c r="C61" s="42"/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</x:row>
    <x:row r="62">
      <x:c r="A62" s="44" t="str">
        <x:v>Source ID</x:v>
      </x:c>
      <x:c r="B62" s="44" t="str">
        <x:v>Что использовано</x:v>
      </x:c>
      <x:c r="C62" s="44" t="str">
        <x:v>URL</x:v>
      </x:c>
      <x:c r="D62" s="44" t="str">
        <x:v>Комментарий</x:v>
      </x:c>
      <x:c r="E62" s="42"/>
      <x:c r="F62" s="42"/>
      <x:c r="G62" s="42"/>
      <x:c r="H62" s="42"/>
      <x:c r="I62" s="42"/>
      <x:c r="J62" s="42"/>
      <x:c r="K62" s="42"/>
      <x:c r="L62" s="42"/>
      <x:c r="M62" s="42"/>
    </x:row>
    <x:row r="63">
      <x:c r="A63" s="45" t="str">
        <x:v>S1</x:v>
      </x:c>
      <x:c r="B63" s="45" t="str">
        <x:v>Telegram Stars rewards, hold, digital goods</x:v>
      </x:c>
      <x:c r="C63" s="59" t="str">
        <x:v>https://telegram.org/tos/bot-developers</x:v>
      </x:c>
      <x:c r="D63" s="45" t="str">
        <x:v>1 Star = 0.013 USD rewards; доступность до 21 дней</x:v>
      </x:c>
      <x:c r="E63" s="42"/>
      <x:c r="F63" s="42"/>
      <x:c r="G63" s="42"/>
      <x:c r="H63" s="42"/>
      <x:c r="I63" s="42"/>
      <x:c r="J63" s="42"/>
      <x:c r="K63" s="42"/>
      <x:c r="L63" s="42"/>
      <x:c r="M63" s="42"/>
    </x:row>
    <x:row r="64">
      <x:c r="A64" s="45" t="str">
        <x:v>S2</x:v>
      </x:c>
      <x:c r="B64" s="45" t="str">
        <x:v>Telegram Bot payments for digital goods</x:v>
      </x:c>
      <x:c r="C64" s="59" t="str">
        <x:v>https://core.telegram.org/bots/payments-stars</x:v>
      </x:c>
      <x:c r="D64" s="45" t="str">
        <x:v>Платежи цифровых товаров через Stars</x:v>
      </x:c>
      <x:c r="E64" s="42"/>
      <x:c r="F64" s="42"/>
      <x:c r="G64" s="42"/>
      <x:c r="H64" s="42"/>
      <x:c r="I64" s="42"/>
      <x:c r="J64" s="42"/>
      <x:c r="K64" s="42"/>
      <x:c r="L64" s="42"/>
      <x:c r="M64" s="42"/>
    </x:row>
    <x:row r="65">
      <x:c r="A65" s="45" t="str">
        <x:v>S3</x:v>
      </x:c>
      <x:c r="B65" s="45" t="str">
        <x:v>Курс USD/RUB</x:v>
      </x:c>
      <x:c r="C65" s="59" t="str">
        <x:v>https://www.cbr.ru/currency_base/daily/</x:v>
      </x:c>
      <x:c r="D65" s="45" t="str">
        <x:v>ЦБ РФ, курс на 18.06.2026</x:v>
      </x:c>
      <x:c r="E65" s="42"/>
      <x:c r="F65" s="42"/>
      <x:c r="G65" s="42"/>
      <x:c r="H65" s="42"/>
      <x:c r="I65" s="42"/>
      <x:c r="J65" s="42"/>
      <x:c r="K65" s="42"/>
      <x:c r="L65" s="42"/>
      <x:c r="M65" s="42"/>
    </x:row>
    <x:row r="66">
      <x:c r="A66" s="45" t="str">
        <x:v>S4</x:v>
      </x:c>
      <x:c r="B66" s="45" t="str">
        <x:v>OpenAI API pricing</x:v>
      </x:c>
      <x:c r="C66" s="59" t="str">
        <x:v>https://developers.openai.com/api/docs/pricing</x:v>
      </x:c>
      <x:c r="D66" s="45" t="str">
        <x:v>Цены за 1M tokens, gpt-5.4-mini</x:v>
      </x:c>
      <x:c r="E66" s="42"/>
      <x:c r="F66" s="42"/>
      <x:c r="G66" s="42"/>
      <x:c r="H66" s="42"/>
      <x:c r="I66" s="42"/>
      <x:c r="J66" s="42"/>
      <x:c r="K66" s="42"/>
      <x:c r="L66" s="42"/>
      <x:c r="M66" s="42"/>
    </x:row>
    <x:row r="67">
      <x:c r="A67" s="45" t="str">
        <x:v>S5</x:v>
      </x:c>
      <x:c r="B67" s="45" t="str">
        <x:v>SaaS free-to-paid benchmarks</x:v>
      </x:c>
      <x:c r="C67" s="59" t="str">
        <x:v>https://chartmogul.com/reports/saas-conversion-report/</x:v>
      </x:c>
      <x:c r="D67" s="45" t="str">
        <x:v>Freemium good 3-5%, AI 6-8%, great 15-20%</x:v>
      </x:c>
      <x:c r="E67" s="42"/>
      <x:c r="F67" s="42"/>
      <x:c r="G67" s="42"/>
      <x:c r="H67" s="42"/>
      <x:c r="I67" s="42"/>
      <x:c r="J67" s="42"/>
      <x:c r="K67" s="42"/>
      <x:c r="L67" s="42"/>
      <x:c r="M67" s="42"/>
    </x:row>
    <x:row r="68">
      <x:c r="A68" s="45" t="str">
        <x:v>S6</x:v>
      </x:c>
      <x:c r="B68" s="45" t="str">
        <x:v>Subscription churn/retention context</x:v>
      </x:c>
      <x:c r="C68" s="59" t="str">
        <x:v>https://www.recurly.com/content/state-of-subscriptions-report/</x:v>
      </x:c>
      <x:c r="D68" s="45" t="str">
        <x:v>Отток и важность удержания подписчиков</x:v>
      </x:c>
      <x:c r="E68" s="42"/>
      <x:c r="F68" s="42"/>
      <x:c r="G68" s="42"/>
      <x:c r="H68" s="42"/>
      <x:c r="I68" s="42"/>
      <x:c r="J68" s="42"/>
      <x:c r="K68" s="42"/>
      <x:c r="L68" s="42"/>
      <x:c r="M68" s="42"/>
    </x:row>
    <x:row r="69">
      <x:c r="A69" s="45" t="str">
        <x:v>S7</x:v>
      </x:c>
      <x:c r="B69" s="45" t="str">
        <x:v>AI market size</x:v>
      </x:c>
      <x:c r="C69" s="59" t="str">
        <x:v>https://www.grandviewresearch.com/industry-analysis/artificial-intelligence-ai-market</x:v>
      </x:c>
      <x:c r="D69" s="45" t="str">
        <x:v>AI market estimate 2026</x:v>
      </x:c>
      <x:c r="E69" s="42"/>
      <x:c r="F69" s="42"/>
      <x:c r="G69" s="42"/>
      <x:c r="H69" s="42"/>
      <x:c r="I69" s="42"/>
      <x:c r="J69" s="42"/>
      <x:c r="K69" s="42"/>
      <x:c r="L69" s="42"/>
      <x:c r="M69" s="42"/>
    </x:row>
    <x:row r="70">
      <x:c r="A70" s="45" t="str">
        <x:v>S8</x:v>
      </x:c>
      <x:c r="B70" s="45" t="str">
        <x:v>Prompt engineering market</x:v>
      </x:c>
      <x:c r="C70" s="59" t="str">
        <x:v>https://www.researchandmarkets.com/reports/6103820/prompt-engineering-market-report</x:v>
      </x:c>
      <x:c r="D70" s="45" t="str">
        <x:v>Prompt engineering 2026 estimate</x:v>
      </x:c>
      <x:c r="E70" s="42"/>
      <x:c r="F70" s="42"/>
      <x:c r="G70" s="42"/>
      <x:c r="H70" s="42"/>
      <x:c r="I70" s="42"/>
      <x:c r="J70" s="42"/>
      <x:c r="K70" s="42"/>
      <x:c r="L70" s="42"/>
      <x:c r="M70" s="42"/>
    </x:row>
    <x:row r="71">
      <x:c r="A71" s="45" t="str">
        <x:v>S9</x:v>
      </x:c>
      <x:c r="B71" s="45" t="str">
        <x:v>Russia internet/social audience</x:v>
      </x:c>
      <x:c r="C71" s="59" t="str">
        <x:v>https://datareportal.com/reports/digital-2026-russian-federation</x:v>
      </x:c>
      <x:c r="D71" s="45" t="str">
        <x:v>136M internet users, 91.5M social identities 18+</x:v>
      </x:c>
      <x:c r="E71" s="42"/>
      <x:c r="F71" s="42"/>
      <x:c r="G71" s="42"/>
      <x:c r="H71" s="42"/>
      <x:c r="I71" s="42"/>
      <x:c r="J71" s="42"/>
      <x:c r="K71" s="42"/>
      <x:c r="L71" s="42"/>
      <x:c r="M71" s="42"/>
    </x:row>
    <x:row r="72">
      <x:c r="A72" s="42"/>
      <x:c r="B72" s="42"/>
      <x:c r="C72" s="42"/>
      <x:c r="D72" s="42"/>
      <x:c r="E72" s="42"/>
      <x:c r="F72" s="42"/>
      <x:c r="G72" s="42"/>
      <x:c r="H72" s="42"/>
      <x:c r="I72" s="42"/>
      <x:c r="J72" s="42"/>
      <x:c r="K72" s="42"/>
      <x:c r="L72" s="42"/>
      <x:c r="M72" s="42"/>
    </x:row>
    <x:row r="73">
      <x:c r="A73" s="42"/>
      <x:c r="B73" s="42"/>
      <x:c r="C73" s="42"/>
      <x:c r="D73" s="42"/>
      <x:c r="E73" s="42"/>
      <x:c r="F73" s="42"/>
      <x:c r="G73" s="42"/>
      <x:c r="H73" s="42"/>
      <x:c r="I73" s="42"/>
      <x:c r="J73" s="42"/>
      <x:c r="K73" s="42"/>
      <x:c r="L73" s="42"/>
      <x:c r="M73" s="42"/>
    </x:row>
    <x:row r="74">
      <x:c r="A74" s="42"/>
      <x:c r="B74" s="42"/>
      <x:c r="C74" s="42"/>
      <x:c r="D74" s="42"/>
      <x:c r="E74" s="42"/>
      <x:c r="F74" s="42"/>
      <x:c r="G74" s="42"/>
      <x:c r="H74" s="42"/>
      <x:c r="I74" s="42"/>
      <x:c r="J74" s="42"/>
      <x:c r="K74" s="42"/>
      <x:c r="L74" s="42"/>
      <x:c r="M74" s="42"/>
    </x:row>
    <x:row r="75">
      <x:c r="A75" s="42"/>
      <x:c r="B75" s="42"/>
      <x:c r="C75" s="42"/>
      <x:c r="D75" s="42"/>
      <x:c r="E75" s="42"/>
      <x:c r="F75" s="42"/>
      <x:c r="G75" s="42"/>
      <x:c r="H75" s="42"/>
      <x:c r="I75" s="42"/>
      <x:c r="J75" s="42"/>
      <x:c r="K75" s="42"/>
      <x:c r="L75" s="42"/>
      <x:c r="M75" s="42"/>
    </x:row>
    <x:row r="76">
      <x:c r="A76" s="42"/>
      <x:c r="B76" s="42"/>
      <x:c r="C76" s="42"/>
      <x:c r="D76" s="42"/>
      <x:c r="E76" s="42"/>
      <x:c r="F76" s="42"/>
      <x:c r="G76" s="42"/>
      <x:c r="H76" s="42"/>
      <x:c r="I76" s="42"/>
      <x:c r="J76" s="42"/>
      <x:c r="K76" s="42"/>
      <x:c r="L76" s="42"/>
      <x:c r="M76" s="42"/>
    </x:row>
    <x:row r="77">
      <x:c r="A77" s="42"/>
      <x:c r="B77" s="42"/>
      <x:c r="C77" s="42"/>
      <x:c r="D77" s="42"/>
      <x:c r="E77" s="42"/>
      <x:c r="F77" s="42"/>
      <x:c r="G77" s="42"/>
      <x:c r="H77" s="42"/>
      <x:c r="I77" s="42"/>
      <x:c r="J77" s="42"/>
      <x:c r="K77" s="42"/>
      <x:c r="L77" s="42"/>
      <x:c r="M77" s="42"/>
    </x:row>
    <x:row r="78">
      <x:c r="A78" s="42"/>
      <x:c r="B78" s="42"/>
      <x:c r="C78" s="42"/>
      <x:c r="D78" s="42"/>
      <x:c r="E78" s="42"/>
      <x:c r="F78" s="42"/>
      <x:c r="G78" s="42"/>
      <x:c r="H78" s="42"/>
      <x:c r="I78" s="42"/>
      <x:c r="J78" s="42"/>
      <x:c r="K78" s="42"/>
      <x:c r="L78" s="42"/>
      <x:c r="M78" s="42"/>
    </x:row>
    <x:row r="79">
      <x:c r="A79" s="42"/>
      <x:c r="B79" s="42"/>
      <x:c r="C79" s="42"/>
      <x:c r="D79" s="42"/>
      <x:c r="E79" s="42"/>
      <x:c r="F79" s="42"/>
      <x:c r="G79" s="42"/>
      <x:c r="H79" s="42"/>
      <x:c r="I79" s="42"/>
      <x:c r="J79" s="42"/>
      <x:c r="K79" s="42"/>
      <x:c r="L79" s="42"/>
      <x:c r="M79" s="42"/>
    </x:row>
    <x:row r="80">
      <x:c r="A80" s="42"/>
      <x:c r="B80" s="42"/>
      <x:c r="C80" s="42"/>
      <x:c r="D80" s="42"/>
      <x:c r="E80" s="42"/>
      <x:c r="F80" s="42"/>
      <x:c r="G80" s="42"/>
      <x:c r="H80" s="42"/>
      <x:c r="I80" s="42"/>
      <x:c r="J80" s="42"/>
      <x:c r="K80" s="42"/>
      <x:c r="L80" s="42"/>
      <x:c r="M80" s="42"/>
    </x:row>
    <x:row r="81">
      <x:c r="A81" s="42"/>
      <x:c r="B81" s="42"/>
      <x:c r="C81" s="42"/>
      <x:c r="D81" s="42"/>
      <x:c r="E81" s="42"/>
      <x:c r="F81" s="42"/>
      <x:c r="G81" s="42"/>
      <x:c r="H81" s="42"/>
      <x:c r="I81" s="42"/>
      <x:c r="J81" s="42"/>
      <x:c r="K81" s="42"/>
      <x:c r="L81" s="42"/>
      <x:c r="M81" s="42"/>
    </x:row>
    <x:row r="82">
      <x:c r="A82" s="42"/>
      <x:c r="B82" s="42"/>
      <x:c r="C82" s="42"/>
      <x:c r="D82" s="42"/>
      <x:c r="E82" s="42"/>
      <x:c r="F82" s="42"/>
      <x:c r="G82" s="42"/>
      <x:c r="H82" s="42"/>
      <x:c r="I82" s="42"/>
      <x:c r="J82" s="42"/>
      <x:c r="K82" s="42"/>
      <x:c r="L82" s="42"/>
      <x:c r="M82" s="42"/>
    </x:row>
    <x:row r="83">
      <x:c r="A83" s="42"/>
      <x:c r="B83" s="42"/>
      <x:c r="C83" s="42"/>
      <x:c r="D83" s="42"/>
      <x:c r="E83" s="42"/>
      <x:c r="F83" s="42"/>
      <x:c r="G83" s="42"/>
      <x:c r="H83" s="42"/>
      <x:c r="I83" s="42"/>
      <x:c r="J83" s="42"/>
      <x:c r="K83" s="42"/>
      <x:c r="L83" s="42"/>
      <x:c r="M83" s="42"/>
    </x:row>
    <x:row r="84">
      <x:c r="A84" s="42"/>
      <x:c r="B84" s="42"/>
      <x:c r="C84" s="42"/>
      <x:c r="D84" s="42"/>
      <x:c r="E84" s="42"/>
      <x:c r="F84" s="42"/>
      <x:c r="G84" s="42"/>
      <x:c r="H84" s="42"/>
      <x:c r="I84" s="42"/>
      <x:c r="J84" s="42"/>
      <x:c r="K84" s="42"/>
      <x:c r="L84" s="42"/>
      <x:c r="M84" s="42"/>
    </x:row>
    <x:row r="85">
      <x:c r="A85" s="42"/>
      <x:c r="B85" s="42"/>
      <x:c r="C85" s="42"/>
      <x:c r="D85" s="42"/>
      <x:c r="E85" s="42"/>
      <x:c r="F85" s="42"/>
      <x:c r="G85" s="42"/>
      <x:c r="H85" s="42"/>
      <x:c r="I85" s="42"/>
      <x:c r="J85" s="42"/>
      <x:c r="K85" s="42"/>
      <x:c r="L85" s="42"/>
      <x:c r="M85" s="42"/>
    </x:row>
    <x:row r="86">
      <x:c r="A86" s="42"/>
      <x:c r="B86" s="42"/>
      <x:c r="C86" s="42"/>
      <x:c r="D86" s="42"/>
      <x:c r="E86" s="42"/>
      <x:c r="F86" s="42"/>
      <x:c r="G86" s="42"/>
      <x:c r="H86" s="42"/>
      <x:c r="I86" s="42"/>
      <x:c r="J86" s="42"/>
      <x:c r="K86" s="42"/>
      <x:c r="L86" s="42"/>
      <x:c r="M86" s="42"/>
    </x:row>
    <x:row r="87">
      <x:c r="A87" s="42"/>
      <x:c r="B87" s="42"/>
      <x:c r="C87" s="42"/>
      <x:c r="D87" s="42"/>
      <x:c r="E87" s="42"/>
      <x:c r="F87" s="42"/>
      <x:c r="G87" s="42"/>
      <x:c r="H87" s="42"/>
      <x:c r="I87" s="42"/>
      <x:c r="J87" s="42"/>
      <x:c r="K87" s="42"/>
      <x:c r="L87" s="42"/>
      <x:c r="M87" s="42"/>
    </x:row>
    <x:row r="88">
      <x:c r="A88" s="42"/>
      <x:c r="B88" s="42"/>
      <x:c r="C88" s="42"/>
      <x:c r="D88" s="42"/>
      <x:c r="E88" s="42"/>
      <x:c r="F88" s="42"/>
      <x:c r="G88" s="42"/>
      <x:c r="H88" s="42"/>
      <x:c r="I88" s="42"/>
      <x:c r="J88" s="42"/>
      <x:c r="K88" s="42"/>
      <x:c r="L88" s="42"/>
      <x:c r="M88" s="42"/>
    </x:row>
    <x:row r="89">
      <x:c r="A89" s="42"/>
      <x:c r="B89" s="42"/>
      <x:c r="C89" s="42"/>
      <x:c r="D89" s="42"/>
      <x:c r="E89" s="42"/>
      <x:c r="F89" s="42"/>
      <x:c r="G89" s="42"/>
      <x:c r="H89" s="42"/>
      <x:c r="I89" s="42"/>
      <x:c r="J89" s="42"/>
      <x:c r="K89" s="42"/>
      <x:c r="L89" s="42"/>
      <x:c r="M89" s="42"/>
    </x:row>
    <x:row r="90">
      <x:c r="A90" s="42"/>
      <x:c r="B90" s="42"/>
      <x:c r="C90" s="42"/>
      <x:c r="D90" s="42"/>
      <x:c r="E90" s="42"/>
      <x:c r="F90" s="42"/>
      <x:c r="G90" s="42"/>
      <x:c r="H90" s="42"/>
      <x:c r="I90" s="42"/>
      <x:c r="J90" s="42"/>
      <x:c r="K90" s="42"/>
      <x:c r="L90" s="42"/>
      <x:c r="M90" s="42"/>
    </x:row>
    <x:row r="91">
      <x:c r="A91" s="42"/>
      <x:c r="B91" s="42"/>
      <x:c r="C91" s="42"/>
      <x:c r="D91" s="42"/>
      <x:c r="E91" s="42"/>
      <x:c r="F91" s="42"/>
      <x:c r="G91" s="42"/>
      <x:c r="H91" s="42"/>
      <x:c r="I91" s="42"/>
      <x:c r="J91" s="42"/>
      <x:c r="K91" s="42"/>
      <x:c r="L91" s="42"/>
      <x:c r="M91" s="42"/>
    </x:row>
    <x:row r="92">
      <x:c r="A92" s="42"/>
      <x:c r="B92" s="42"/>
      <x:c r="C92" s="42"/>
      <x:c r="D92" s="42"/>
      <x:c r="E92" s="42"/>
      <x:c r="F92" s="42"/>
      <x:c r="G92" s="42"/>
      <x:c r="H92" s="42"/>
      <x:c r="I92" s="42"/>
      <x:c r="J92" s="42"/>
      <x:c r="K92" s="42"/>
      <x:c r="L92" s="42"/>
      <x:c r="M92" s="42"/>
    </x:row>
    <x:row r="93">
      <x:c r="A93" s="42"/>
      <x:c r="B93" s="42"/>
      <x:c r="C93" s="42"/>
      <x:c r="D93" s="42"/>
      <x:c r="E93" s="42"/>
      <x:c r="F93" s="42"/>
      <x:c r="G93" s="42"/>
      <x:c r="H93" s="42"/>
      <x:c r="I93" s="42"/>
      <x:c r="J93" s="42"/>
      <x:c r="K93" s="42"/>
      <x:c r="L93" s="42"/>
      <x:c r="M93" s="42"/>
    </x:row>
    <x:row r="94">
      <x:c r="A94" s="42"/>
      <x:c r="B94" s="42"/>
      <x:c r="C94" s="42"/>
      <x:c r="D94" s="42"/>
      <x:c r="E94" s="42"/>
      <x:c r="F94" s="42"/>
      <x:c r="G94" s="42"/>
      <x:c r="H94" s="42"/>
      <x:c r="I94" s="42"/>
      <x:c r="J94" s="42"/>
      <x:c r="K94" s="42"/>
      <x:c r="L94" s="42"/>
      <x:c r="M94" s="42"/>
    </x:row>
    <x:row r="95">
      <x:c r="A95" s="42"/>
      <x:c r="B95" s="42"/>
      <x:c r="C95" s="42"/>
      <x:c r="D95" s="42"/>
      <x:c r="E95" s="42"/>
      <x:c r="F95" s="42"/>
      <x:c r="G95" s="42"/>
      <x:c r="H95" s="42"/>
      <x:c r="I95" s="42"/>
      <x:c r="J95" s="42"/>
      <x:c r="K95" s="42"/>
      <x:c r="L95" s="42"/>
      <x:c r="M95" s="42"/>
    </x:row>
    <x:row r="96">
      <x:c r="A96" s="42"/>
      <x:c r="B96" s="42"/>
      <x:c r="C96" s="42"/>
      <x:c r="D96" s="42"/>
      <x:c r="E96" s="42"/>
      <x:c r="F96" s="42"/>
      <x:c r="G96" s="42"/>
      <x:c r="H96" s="42"/>
      <x:c r="I96" s="42"/>
      <x:c r="J96" s="42"/>
      <x:c r="K96" s="42"/>
      <x:c r="L96" s="42"/>
      <x:c r="M96" s="42"/>
    </x:row>
    <x:row r="97">
      <x:c r="A97" s="42"/>
      <x:c r="B97" s="42"/>
      <x:c r="C97" s="42"/>
      <x:c r="D97" s="42"/>
      <x:c r="E97" s="42"/>
      <x:c r="F97" s="42"/>
      <x:c r="G97" s="42"/>
      <x:c r="H97" s="42"/>
      <x:c r="I97" s="42"/>
      <x:c r="J97" s="42"/>
      <x:c r="K97" s="42"/>
      <x:c r="L97" s="42"/>
      <x:c r="M97" s="42"/>
    </x:row>
    <x:row r="98">
      <x:c r="A98" s="42"/>
      <x:c r="B98" s="42"/>
      <x:c r="C98" s="42"/>
      <x:c r="D98" s="42"/>
      <x:c r="E98" s="42"/>
      <x:c r="F98" s="42"/>
      <x:c r="G98" s="42"/>
      <x:c r="H98" s="42"/>
      <x:c r="I98" s="42"/>
      <x:c r="J98" s="42"/>
      <x:c r="K98" s="42"/>
      <x:c r="L98" s="42"/>
      <x:c r="M98" s="42"/>
    </x:row>
    <x:row r="99">
      <x:c r="A99" s="42"/>
      <x:c r="B99" s="42"/>
      <x:c r="C99" s="42"/>
      <x:c r="D99" s="42"/>
      <x:c r="E99" s="42"/>
      <x:c r="F99" s="42"/>
      <x:c r="G99" s="42"/>
      <x:c r="H99" s="42"/>
      <x:c r="I99" s="42"/>
      <x:c r="J99" s="42"/>
      <x:c r="K99" s="42"/>
      <x:c r="L99" s="42"/>
      <x:c r="M99" s="42"/>
    </x:row>
    <x:row r="100">
      <x:c r="A100" s="42"/>
      <x:c r="B100" s="42"/>
      <x:c r="C100" s="42"/>
      <x:c r="D100" s="42"/>
      <x:c r="E100" s="42"/>
      <x:c r="F100" s="42"/>
      <x:c r="G100" s="42"/>
      <x:c r="H100" s="42"/>
      <x:c r="I100" s="42"/>
      <x:c r="J100" s="42"/>
      <x:c r="K100" s="42"/>
      <x:c r="L100" s="42"/>
      <x:c r="M100" s="42"/>
    </x:row>
    <x:row r="101">
      <x:c r="A101" s="42"/>
      <x:c r="B101" s="42"/>
      <x:c r="C101" s="42"/>
      <x:c r="D101" s="42"/>
      <x:c r="E101" s="42"/>
      <x:c r="F101" s="42"/>
      <x:c r="G101" s="42"/>
      <x:c r="H101" s="42"/>
      <x:c r="I101" s="42"/>
      <x:c r="J101" s="42"/>
      <x:c r="K101" s="42"/>
      <x:c r="L101" s="42"/>
      <x:c r="M101" s="42"/>
    </x:row>
    <x:row r="102">
      <x:c r="A102" s="42"/>
      <x:c r="B102" s="42"/>
      <x:c r="C102" s="42"/>
      <x:c r="D102" s="42"/>
      <x:c r="E102" s="42"/>
      <x:c r="F102" s="42"/>
      <x:c r="G102" s="42"/>
      <x:c r="H102" s="42"/>
      <x:c r="I102" s="42"/>
      <x:c r="J102" s="42"/>
      <x:c r="K102" s="42"/>
      <x:c r="L102" s="42"/>
      <x:c r="M102" s="42"/>
    </x:row>
    <x:row r="103">
      <x:c r="A103" s="42"/>
      <x:c r="B103" s="42"/>
      <x:c r="C103" s="42"/>
      <x:c r="D103" s="42"/>
      <x:c r="E103" s="42"/>
      <x:c r="F103" s="42"/>
      <x:c r="G103" s="42"/>
      <x:c r="H103" s="42"/>
      <x:c r="I103" s="42"/>
      <x:c r="J103" s="42"/>
      <x:c r="K103" s="42"/>
      <x:c r="L103" s="42"/>
      <x:c r="M103" s="42"/>
    </x:row>
    <x:row r="104">
      <x:c r="A104" s="42"/>
      <x:c r="B104" s="42"/>
      <x:c r="C104" s="42"/>
      <x:c r="D104" s="42"/>
      <x:c r="E104" s="42"/>
      <x:c r="F104" s="42"/>
      <x:c r="G104" s="42"/>
      <x:c r="H104" s="42"/>
      <x:c r="I104" s="42"/>
      <x:c r="J104" s="42"/>
      <x:c r="K104" s="42"/>
      <x:c r="L104" s="42"/>
      <x:c r="M104" s="42"/>
    </x:row>
    <x:row r="105">
      <x:c r="A105" s="42"/>
      <x:c r="B105" s="42"/>
      <x:c r="C105" s="42"/>
      <x:c r="D105" s="42"/>
      <x:c r="E105" s="42"/>
      <x:c r="F105" s="42"/>
      <x:c r="G105" s="42"/>
      <x:c r="H105" s="42"/>
      <x:c r="I105" s="42"/>
      <x:c r="J105" s="42"/>
      <x:c r="K105" s="42"/>
      <x:c r="L105" s="42"/>
      <x:c r="M105" s="42"/>
    </x:row>
    <x:row r="106">
      <x:c r="A106" s="42"/>
      <x:c r="B106" s="42"/>
      <x:c r="C106" s="42"/>
      <x:c r="D106" s="42"/>
      <x:c r="E106" s="42"/>
      <x:c r="F106" s="42"/>
      <x:c r="G106" s="42"/>
      <x:c r="H106" s="42"/>
      <x:c r="I106" s="42"/>
      <x:c r="J106" s="42"/>
      <x:c r="K106" s="42"/>
      <x:c r="L106" s="42"/>
      <x:c r="M106" s="42"/>
    </x:row>
    <x:row r="107">
      <x:c r="A107" s="42"/>
      <x:c r="B107" s="42"/>
      <x:c r="C107" s="42"/>
      <x:c r="D107" s="42"/>
      <x:c r="E107" s="42"/>
      <x:c r="F107" s="42"/>
      <x:c r="G107" s="42"/>
      <x:c r="H107" s="42"/>
      <x:c r="I107" s="42"/>
      <x:c r="J107" s="42"/>
      <x:c r="K107" s="42"/>
      <x:c r="L107" s="42"/>
      <x:c r="M107" s="42"/>
    </x:row>
    <x:row r="108">
      <x:c r="A108" s="42"/>
      <x:c r="B108" s="42"/>
      <x:c r="C108" s="42"/>
      <x:c r="D108" s="42"/>
      <x:c r="E108" s="42"/>
      <x:c r="F108" s="42"/>
      <x:c r="G108" s="42"/>
      <x:c r="H108" s="42"/>
      <x:c r="I108" s="42"/>
      <x:c r="J108" s="42"/>
      <x:c r="K108" s="42"/>
      <x:c r="L108" s="42"/>
      <x:c r="M108" s="42"/>
    </x:row>
    <x:row r="109">
      <x:c r="A109" s="42"/>
      <x:c r="B109" s="42"/>
      <x:c r="C109" s="42"/>
      <x:c r="D109" s="42"/>
      <x:c r="E109" s="42"/>
      <x:c r="F109" s="42"/>
      <x:c r="G109" s="42"/>
      <x:c r="H109" s="42"/>
      <x:c r="I109" s="42"/>
      <x:c r="J109" s="42"/>
      <x:c r="K109" s="42"/>
      <x:c r="L109" s="42"/>
      <x:c r="M109" s="42"/>
    </x:row>
    <x:row r="110">
      <x:c r="A110" s="42"/>
      <x:c r="B110" s="42"/>
      <x:c r="C110" s="42"/>
      <x:c r="D110" s="42"/>
      <x:c r="E110" s="42"/>
      <x:c r="F110" s="42"/>
      <x:c r="G110" s="42"/>
      <x:c r="H110" s="42"/>
      <x:c r="I110" s="42"/>
      <x:c r="J110" s="42"/>
      <x:c r="K110" s="42"/>
      <x:c r="L110" s="42"/>
      <x:c r="M110" s="42"/>
    </x:row>
    <x:row r="111">
      <x:c r="A111" s="42"/>
      <x:c r="B111" s="42"/>
      <x:c r="C111" s="42"/>
      <x:c r="D111" s="42"/>
      <x:c r="E111" s="42"/>
      <x:c r="F111" s="42"/>
      <x:c r="G111" s="42"/>
      <x:c r="H111" s="42"/>
      <x:c r="I111" s="42"/>
      <x:c r="J111" s="42"/>
      <x:c r="K111" s="42"/>
      <x:c r="L111" s="42"/>
      <x:c r="M111" s="42"/>
    </x:row>
    <x:row r="112">
      <x:c r="A112" s="42"/>
      <x:c r="B112" s="42"/>
      <x:c r="C112" s="42"/>
      <x:c r="D112" s="42"/>
      <x:c r="E112" s="42"/>
      <x:c r="F112" s="42"/>
      <x:c r="G112" s="42"/>
      <x:c r="H112" s="42"/>
      <x:c r="I112" s="42"/>
      <x:c r="J112" s="42"/>
      <x:c r="K112" s="42"/>
      <x:c r="L112" s="42"/>
      <x:c r="M112" s="42"/>
    </x:row>
    <x:row r="113">
      <x:c r="A113" s="42"/>
      <x:c r="B113" s="42"/>
      <x:c r="C113" s="42"/>
      <x:c r="D113" s="42"/>
      <x:c r="E113" s="42"/>
      <x:c r="F113" s="42"/>
      <x:c r="G113" s="42"/>
      <x:c r="H113" s="42"/>
      <x:c r="I113" s="42"/>
      <x:c r="J113" s="42"/>
      <x:c r="K113" s="42"/>
      <x:c r="L113" s="42"/>
      <x:c r="M113" s="42"/>
    </x:row>
    <x:row r="114">
      <x:c r="A114" s="42"/>
      <x:c r="B114" s="42"/>
      <x:c r="C114" s="42"/>
      <x:c r="D114" s="42"/>
      <x:c r="E114" s="42"/>
      <x:c r="F114" s="42"/>
      <x:c r="G114" s="42"/>
      <x:c r="H114" s="42"/>
      <x:c r="I114" s="42"/>
      <x:c r="J114" s="42"/>
      <x:c r="K114" s="42"/>
      <x:c r="L114" s="42"/>
      <x:c r="M114" s="42"/>
    </x:row>
    <x:row r="115">
      <x:c r="A115" s="42"/>
      <x:c r="B115" s="42"/>
      <x:c r="C115" s="42"/>
      <x:c r="D115" s="42"/>
      <x:c r="E115" s="42"/>
      <x:c r="F115" s="42"/>
      <x:c r="G115" s="42"/>
      <x:c r="H115" s="42"/>
      <x:c r="I115" s="42"/>
      <x:c r="J115" s="42"/>
      <x:c r="K115" s="42"/>
      <x:c r="L115" s="42"/>
      <x:c r="M115" s="42"/>
    </x:row>
    <x:row r="116">
      <x:c r="A116" s="42"/>
      <x:c r="B116" s="42"/>
      <x:c r="C116" s="42"/>
      <x:c r="D116" s="42"/>
      <x:c r="E116" s="42"/>
      <x:c r="F116" s="42"/>
      <x:c r="G116" s="42"/>
      <x:c r="H116" s="42"/>
      <x:c r="I116" s="42"/>
      <x:c r="J116" s="42"/>
      <x:c r="K116" s="42"/>
      <x:c r="L116" s="42"/>
      <x:c r="M116" s="42"/>
    </x:row>
    <x:row r="117">
      <x:c r="A117" s="42"/>
      <x:c r="B117" s="42"/>
      <x:c r="C117" s="42"/>
      <x:c r="D117" s="42"/>
      <x:c r="E117" s="42"/>
      <x:c r="F117" s="42"/>
      <x:c r="G117" s="42"/>
      <x:c r="H117" s="42"/>
      <x:c r="I117" s="42"/>
      <x:c r="J117" s="42"/>
      <x:c r="K117" s="42"/>
      <x:c r="L117" s="42"/>
      <x:c r="M117" s="42"/>
    </x:row>
    <x:row r="118">
      <x:c r="A118" s="42"/>
      <x:c r="B118" s="42"/>
      <x:c r="C118" s="42"/>
      <x:c r="D118" s="42"/>
      <x:c r="E118" s="42"/>
      <x:c r="F118" s="42"/>
      <x:c r="G118" s="42"/>
      <x:c r="H118" s="42"/>
      <x:c r="I118" s="42"/>
      <x:c r="J118" s="42"/>
      <x:c r="K118" s="42"/>
      <x:c r="L118" s="42"/>
      <x:c r="M118" s="42"/>
    </x:row>
    <x:row r="119">
      <x:c r="A119" s="42"/>
      <x:c r="B119" s="42"/>
      <x:c r="C119" s="42"/>
      <x:c r="D119" s="42"/>
      <x:c r="E119" s="42"/>
      <x:c r="F119" s="42"/>
      <x:c r="G119" s="42"/>
      <x:c r="H119" s="42"/>
      <x:c r="I119" s="42"/>
      <x:c r="J119" s="42"/>
      <x:c r="K119" s="42"/>
      <x:c r="L119" s="42"/>
      <x:c r="M119" s="42"/>
    </x:row>
    <x:row r="120">
      <x:c r="A120" s="42"/>
      <x:c r="B120" s="42"/>
      <x:c r="C120" s="42"/>
      <x:c r="D120" s="42"/>
      <x:c r="E120" s="42"/>
      <x:c r="F120" s="42"/>
      <x:c r="G120" s="42"/>
      <x:c r="H120" s="42"/>
      <x:c r="I120" s="42"/>
      <x:c r="J120" s="42"/>
      <x:c r="K120" s="42"/>
      <x:c r="L120" s="42"/>
      <x:c r="M120" s="42"/>
    </x:row>
    <x:row r="121">
      <x:c r="A121" s="42"/>
      <x:c r="B121" s="42"/>
      <x:c r="C121" s="42"/>
      <x:c r="D121" s="42"/>
      <x:c r="E121" s="42"/>
      <x:c r="F121" s="42"/>
      <x:c r="G121" s="42"/>
      <x:c r="H121" s="42"/>
      <x:c r="I121" s="42"/>
      <x:c r="J121" s="42"/>
      <x:c r="K121" s="42"/>
      <x:c r="L121" s="42"/>
      <x:c r="M121" s="42"/>
    </x:row>
    <x:row r="122">
      <x:c r="A122" s="42"/>
      <x:c r="B122" s="42"/>
      <x:c r="C122" s="42"/>
      <x:c r="D122" s="42"/>
      <x:c r="E122" s="42"/>
      <x:c r="F122" s="42"/>
      <x:c r="G122" s="42"/>
      <x:c r="H122" s="42"/>
      <x:c r="I122" s="42"/>
      <x:c r="J122" s="42"/>
      <x:c r="K122" s="42"/>
      <x:c r="L122" s="42"/>
      <x:c r="M122" s="42"/>
    </x:row>
    <x:row r="123">
      <x:c r="A123" s="42"/>
      <x:c r="B123" s="42"/>
      <x:c r="C123" s="42"/>
      <x:c r="D123" s="42"/>
      <x:c r="E123" s="42"/>
      <x:c r="F123" s="42"/>
      <x:c r="G123" s="42"/>
      <x:c r="H123" s="42"/>
      <x:c r="I123" s="42"/>
      <x:c r="J123" s="42"/>
      <x:c r="K123" s="42"/>
      <x:c r="L123" s="42"/>
      <x:c r="M123" s="42"/>
    </x:row>
    <x:row r="124">
      <x:c r="A124" s="42"/>
      <x:c r="B124" s="42"/>
      <x:c r="C124" s="42"/>
      <x:c r="D124" s="42"/>
      <x:c r="E124" s="42"/>
      <x:c r="F124" s="42"/>
      <x:c r="G124" s="42"/>
      <x:c r="H124" s="42"/>
      <x:c r="I124" s="42"/>
      <x:c r="J124" s="42"/>
      <x:c r="K124" s="42"/>
      <x:c r="L124" s="42"/>
      <x:c r="M124" s="42"/>
    </x:row>
    <x:row r="125">
      <x:c r="A125" s="42"/>
      <x:c r="B125" s="42"/>
      <x:c r="C125" s="42"/>
      <x:c r="D125" s="42"/>
      <x:c r="E125" s="42"/>
      <x:c r="F125" s="42"/>
      <x:c r="G125" s="42"/>
      <x:c r="H125" s="42"/>
      <x:c r="I125" s="42"/>
      <x:c r="J125" s="42"/>
      <x:c r="K125" s="42"/>
      <x:c r="L125" s="42"/>
      <x:c r="M125" s="42"/>
    </x:row>
    <x:row r="126">
      <x:c r="A126" s="42"/>
      <x:c r="B126" s="42"/>
      <x:c r="C126" s="42"/>
      <x:c r="D126" s="42"/>
      <x:c r="E126" s="42"/>
      <x:c r="F126" s="42"/>
      <x:c r="G126" s="42"/>
      <x:c r="H126" s="42"/>
      <x:c r="I126" s="42"/>
      <x:c r="J126" s="42"/>
      <x:c r="K126" s="42"/>
      <x:c r="L126" s="42"/>
      <x:c r="M126" s="42"/>
    </x:row>
    <x:row r="127">
      <x:c r="A127" s="42"/>
      <x:c r="B127" s="42"/>
      <x:c r="C127" s="42"/>
      <x:c r="D127" s="42"/>
      <x:c r="E127" s="42"/>
      <x:c r="F127" s="42"/>
      <x:c r="G127" s="42"/>
      <x:c r="H127" s="42"/>
      <x:c r="I127" s="42"/>
      <x:c r="J127" s="42"/>
      <x:c r="K127" s="42"/>
      <x:c r="L127" s="42"/>
      <x:c r="M127" s="42"/>
    </x:row>
    <x:row r="128">
      <x:c r="A128" s="42"/>
      <x:c r="B128" s="42"/>
      <x:c r="C128" s="42"/>
      <x:c r="D128" s="42"/>
      <x:c r="E128" s="42"/>
      <x:c r="F128" s="42"/>
      <x:c r="G128" s="42"/>
      <x:c r="H128" s="42"/>
      <x:c r="I128" s="42"/>
      <x:c r="J128" s="42"/>
      <x:c r="K128" s="42"/>
      <x:c r="L128" s="42"/>
      <x:c r="M128" s="42"/>
    </x:row>
    <x:row r="129">
      <x:c r="A129" s="42"/>
      <x:c r="B129" s="42"/>
      <x:c r="C129" s="42"/>
      <x:c r="D129" s="42"/>
      <x:c r="E129" s="42"/>
      <x:c r="F129" s="42"/>
      <x:c r="G129" s="42"/>
      <x:c r="H129" s="42"/>
      <x:c r="I129" s="42"/>
      <x:c r="J129" s="42"/>
      <x:c r="K129" s="42"/>
      <x:c r="L129" s="42"/>
      <x:c r="M129" s="42"/>
    </x:row>
    <x:row r="130">
      <x:c r="A130" s="42"/>
      <x:c r="B130" s="42"/>
      <x:c r="C130" s="42"/>
      <x:c r="D130" s="42"/>
      <x:c r="E130" s="42"/>
      <x:c r="F130" s="42"/>
      <x:c r="G130" s="42"/>
      <x:c r="H130" s="42"/>
      <x:c r="I130" s="42"/>
      <x:c r="J130" s="42"/>
      <x:c r="K130" s="42"/>
      <x:c r="L130" s="42"/>
      <x:c r="M130" s="42"/>
    </x:row>
    <x:row r="131">
      <x:c r="A131" s="42"/>
      <x:c r="B131" s="42"/>
      <x:c r="C131" s="42"/>
      <x:c r="D131" s="42"/>
      <x:c r="E131" s="42"/>
      <x:c r="F131" s="42"/>
      <x:c r="G131" s="42"/>
      <x:c r="H131" s="42"/>
      <x:c r="I131" s="42"/>
      <x:c r="J131" s="42"/>
      <x:c r="K131" s="42"/>
      <x:c r="L131" s="42"/>
      <x:c r="M131" s="42"/>
    </x:row>
    <x:row r="132">
      <x:c r="A132" s="42"/>
      <x:c r="B132" s="42"/>
      <x:c r="C132" s="42"/>
      <x:c r="D132" s="42"/>
      <x:c r="E132" s="42"/>
      <x:c r="F132" s="42"/>
      <x:c r="G132" s="42"/>
      <x:c r="H132" s="42"/>
      <x:c r="I132" s="42"/>
      <x:c r="J132" s="42"/>
      <x:c r="K132" s="42"/>
      <x:c r="L132" s="42"/>
      <x:c r="M132" s="42"/>
    </x:row>
    <x:row r="133">
      <x:c r="A133" s="42"/>
      <x:c r="B133" s="42"/>
      <x:c r="C133" s="42"/>
      <x:c r="D133" s="42"/>
      <x:c r="E133" s="42"/>
      <x:c r="F133" s="42"/>
      <x:c r="G133" s="42"/>
      <x:c r="H133" s="42"/>
      <x:c r="I133" s="42"/>
      <x:c r="J133" s="42"/>
      <x:c r="K133" s="42"/>
      <x:c r="L133" s="42"/>
      <x:c r="M133" s="42"/>
    </x:row>
    <x:row r="134">
      <x:c r="A134" s="42"/>
      <x:c r="B134" s="42"/>
      <x:c r="C134" s="42"/>
      <x:c r="D134" s="42"/>
      <x:c r="E134" s="42"/>
      <x:c r="F134" s="42"/>
      <x:c r="G134" s="42"/>
      <x:c r="H134" s="42"/>
      <x:c r="I134" s="42"/>
      <x:c r="J134" s="42"/>
      <x:c r="K134" s="42"/>
      <x:c r="L134" s="42"/>
      <x:c r="M134" s="42"/>
    </x:row>
    <x:row r="135">
      <x:c r="A135" s="42"/>
      <x:c r="B135" s="42"/>
      <x:c r="C135" s="42"/>
      <x:c r="D135" s="42"/>
      <x:c r="E135" s="42"/>
      <x:c r="F135" s="42"/>
      <x:c r="G135" s="42"/>
      <x:c r="H135" s="42"/>
      <x:c r="I135" s="42"/>
      <x:c r="J135" s="42"/>
      <x:c r="K135" s="42"/>
      <x:c r="L135" s="42"/>
      <x:c r="M135" s="42"/>
    </x:row>
    <x:row r="136">
      <x:c r="A136" s="42"/>
      <x:c r="B136" s="42"/>
      <x:c r="C136" s="42"/>
      <x:c r="D136" s="42"/>
      <x:c r="E136" s="42"/>
      <x:c r="F136" s="42"/>
      <x:c r="G136" s="42"/>
      <x:c r="H136" s="42"/>
      <x:c r="I136" s="42"/>
      <x:c r="J136" s="42"/>
      <x:c r="K136" s="42"/>
      <x:c r="L136" s="42"/>
      <x:c r="M136" s="42"/>
    </x:row>
    <x:row r="137">
      <x:c r="A137" s="42"/>
      <x:c r="B137" s="42"/>
      <x:c r="C137" s="42"/>
      <x:c r="D137" s="42"/>
      <x:c r="E137" s="42"/>
      <x:c r="F137" s="42"/>
      <x:c r="G137" s="42"/>
      <x:c r="H137" s="42"/>
      <x:c r="I137" s="42"/>
      <x:c r="J137" s="42"/>
      <x:c r="K137" s="42"/>
      <x:c r="L137" s="42"/>
      <x:c r="M137" s="42"/>
    </x:row>
    <x:row r="138">
      <x:c r="A138" s="42"/>
      <x:c r="B138" s="42"/>
      <x:c r="C138" s="42"/>
      <x:c r="D138" s="42"/>
      <x:c r="E138" s="42"/>
      <x:c r="F138" s="42"/>
      <x:c r="G138" s="42"/>
      <x:c r="H138" s="42"/>
      <x:c r="I138" s="42"/>
      <x:c r="J138" s="42"/>
      <x:c r="K138" s="42"/>
      <x:c r="L138" s="42"/>
      <x:c r="M138" s="42"/>
    </x:row>
    <x:row r="139">
      <x:c r="A139" s="42"/>
      <x:c r="B139" s="42"/>
      <x:c r="C139" s="42"/>
      <x:c r="D139" s="42"/>
      <x:c r="E139" s="42"/>
      <x:c r="F139" s="42"/>
      <x:c r="G139" s="42"/>
      <x:c r="H139" s="42"/>
      <x:c r="I139" s="42"/>
      <x:c r="J139" s="42"/>
      <x:c r="K139" s="42"/>
      <x:c r="L139" s="42"/>
      <x:c r="M139" s="42"/>
    </x:row>
    <x:row r="140">
      <x:c r="A140" s="42"/>
      <x:c r="B140" s="42"/>
      <x:c r="C140" s="42"/>
      <x:c r="D140" s="42"/>
      <x:c r="E140" s="42"/>
      <x:c r="F140" s="42"/>
      <x:c r="G140" s="42"/>
      <x:c r="H140" s="42"/>
      <x:c r="I140" s="42"/>
      <x:c r="J140" s="42"/>
      <x:c r="K140" s="42"/>
      <x:c r="L140" s="42"/>
      <x:c r="M140" s="42"/>
    </x:row>
    <x:row r="141">
      <x:c r="A141" s="42"/>
      <x:c r="B141" s="42"/>
      <x:c r="C141" s="42"/>
      <x:c r="D141" s="42"/>
      <x:c r="E141" s="42"/>
      <x:c r="F141" s="42"/>
      <x:c r="G141" s="42"/>
      <x:c r="H141" s="42"/>
      <x:c r="I141" s="42"/>
      <x:c r="J141" s="42"/>
      <x:c r="K141" s="42"/>
      <x:c r="L141" s="42"/>
      <x:c r="M141" s="42"/>
    </x:row>
    <x:row r="142">
      <x:c r="A142" s="42"/>
      <x:c r="B142" s="42"/>
      <x:c r="C142" s="42"/>
      <x:c r="D142" s="42"/>
      <x:c r="E142" s="42"/>
      <x:c r="F142" s="42"/>
      <x:c r="G142" s="42"/>
      <x:c r="H142" s="42"/>
      <x:c r="I142" s="42"/>
      <x:c r="J142" s="42"/>
      <x:c r="K142" s="42"/>
      <x:c r="L142" s="42"/>
      <x:c r="M142" s="42"/>
    </x:row>
    <x:row r="143">
      <x:c r="A143" s="42"/>
      <x:c r="B143" s="42"/>
      <x:c r="C143" s="42"/>
      <x:c r="D143" s="42"/>
      <x:c r="E143" s="42"/>
      <x:c r="F143" s="42"/>
      <x:c r="G143" s="42"/>
      <x:c r="H143" s="42"/>
      <x:c r="I143" s="42"/>
      <x:c r="J143" s="42"/>
      <x:c r="K143" s="42"/>
      <x:c r="L143" s="42"/>
      <x:c r="M143" s="42"/>
    </x:row>
    <x:row r="144">
      <x:c r="A144" s="42"/>
      <x:c r="B144" s="42"/>
      <x:c r="C144" s="42"/>
      <x:c r="D144" s="42"/>
      <x:c r="E144" s="42"/>
      <x:c r="F144" s="42"/>
      <x:c r="G144" s="42"/>
      <x:c r="H144" s="42"/>
      <x:c r="I144" s="42"/>
      <x:c r="J144" s="42"/>
      <x:c r="K144" s="42"/>
      <x:c r="L144" s="42"/>
      <x:c r="M144" s="42"/>
    </x:row>
    <x:row r="145">
      <x:c r="A145" s="42"/>
      <x:c r="B145" s="42"/>
      <x:c r="C145" s="42"/>
      <x:c r="D145" s="42"/>
      <x:c r="E145" s="42"/>
      <x:c r="F145" s="42"/>
      <x:c r="G145" s="42"/>
      <x:c r="H145" s="42"/>
      <x:c r="I145" s="42"/>
      <x:c r="J145" s="42"/>
      <x:c r="K145" s="42"/>
      <x:c r="L145" s="42"/>
      <x:c r="M145" s="42"/>
    </x:row>
    <x:row r="146">
      <x:c r="A146" s="42"/>
      <x:c r="B146" s="42"/>
      <x:c r="C146" s="42"/>
      <x:c r="D146" s="42"/>
      <x:c r="E146" s="42"/>
      <x:c r="F146" s="42"/>
      <x:c r="G146" s="42"/>
      <x:c r="H146" s="42"/>
      <x:c r="I146" s="42"/>
      <x:c r="J146" s="42"/>
      <x:c r="K146" s="42"/>
      <x:c r="L146" s="42"/>
      <x:c r="M146" s="42"/>
    </x:row>
    <x:row r="147">
      <x:c r="A147" s="42"/>
      <x:c r="B147" s="42"/>
      <x:c r="C147" s="42"/>
      <x:c r="D147" s="42"/>
      <x:c r="E147" s="42"/>
      <x:c r="F147" s="42"/>
      <x:c r="G147" s="42"/>
      <x:c r="H147" s="42"/>
      <x:c r="I147" s="42"/>
      <x:c r="J147" s="42"/>
      <x:c r="K147" s="42"/>
      <x:c r="L147" s="42"/>
      <x:c r="M147" s="42"/>
    </x:row>
    <x:row r="148">
      <x:c r="A148" s="42"/>
      <x:c r="B148" s="42"/>
      <x:c r="C148" s="42"/>
      <x:c r="D148" s="42"/>
      <x:c r="E148" s="42"/>
      <x:c r="F148" s="42"/>
      <x:c r="G148" s="42"/>
      <x:c r="H148" s="42"/>
      <x:c r="I148" s="42"/>
      <x:c r="J148" s="42"/>
      <x:c r="K148" s="42"/>
      <x:c r="L148" s="42"/>
      <x:c r="M148" s="42"/>
    </x:row>
    <x:row r="149">
      <x:c r="A149" s="42"/>
      <x:c r="B149" s="42"/>
      <x:c r="C149" s="42"/>
      <x:c r="D149" s="42"/>
      <x:c r="E149" s="42"/>
      <x:c r="F149" s="42"/>
      <x:c r="G149" s="42"/>
      <x:c r="H149" s="42"/>
      <x:c r="I149" s="42"/>
      <x:c r="J149" s="42"/>
      <x:c r="K149" s="42"/>
      <x:c r="L149" s="42"/>
      <x:c r="M149" s="42"/>
    </x:row>
    <x:row r="150">
      <x:c r="A150" s="42"/>
      <x:c r="B150" s="42"/>
      <x:c r="C150" s="42"/>
      <x:c r="D150" s="42"/>
      <x:c r="E150" s="42"/>
      <x:c r="F150" s="42"/>
      <x:c r="G150" s="42"/>
      <x:c r="H150" s="42"/>
      <x:c r="I150" s="42"/>
      <x:c r="J150" s="42"/>
      <x:c r="K150" s="42"/>
      <x:c r="L150" s="42"/>
      <x:c r="M150" s="42"/>
    </x:row>
    <x:row r="151">
      <x:c r="A151" s="42"/>
      <x:c r="B151" s="42"/>
      <x:c r="C151" s="42"/>
      <x:c r="D151" s="42"/>
      <x:c r="E151" s="42"/>
      <x:c r="F151" s="42"/>
      <x:c r="G151" s="42"/>
      <x:c r="H151" s="42"/>
      <x:c r="I151" s="42"/>
      <x:c r="J151" s="42"/>
      <x:c r="K151" s="42"/>
      <x:c r="L151" s="42"/>
      <x:c r="M151" s="42"/>
    </x:row>
    <x:row r="152">
      <x:c r="A152" s="42"/>
      <x:c r="B152" s="42"/>
      <x:c r="C152" s="42"/>
      <x:c r="D152" s="42"/>
      <x:c r="E152" s="42"/>
      <x:c r="F152" s="42"/>
      <x:c r="G152" s="42"/>
      <x:c r="H152" s="42"/>
      <x:c r="I152" s="42"/>
      <x:c r="J152" s="42"/>
      <x:c r="K152" s="42"/>
      <x:c r="L152" s="42"/>
      <x:c r="M152" s="42"/>
    </x:row>
    <x:row r="153">
      <x:c r="A153" s="42"/>
      <x:c r="B153" s="42"/>
      <x:c r="C153" s="42"/>
      <x:c r="D153" s="42"/>
      <x:c r="E153" s="42"/>
      <x:c r="F153" s="42"/>
      <x:c r="G153" s="42"/>
      <x:c r="H153" s="42"/>
      <x:c r="I153" s="42"/>
      <x:c r="J153" s="42"/>
      <x:c r="K153" s="42"/>
      <x:c r="L153" s="42"/>
      <x:c r="M153" s="42"/>
    </x:row>
    <x:row r="154">
      <x:c r="A154" s="42"/>
      <x:c r="B154" s="42"/>
      <x:c r="C154" s="42"/>
      <x:c r="D154" s="42"/>
      <x:c r="E154" s="42"/>
      <x:c r="F154" s="42"/>
      <x:c r="G154" s="42"/>
      <x:c r="H154" s="42"/>
      <x:c r="I154" s="42"/>
      <x:c r="J154" s="42"/>
      <x:c r="K154" s="42"/>
      <x:c r="L154" s="42"/>
      <x:c r="M154" s="42"/>
    </x:row>
    <x:row r="155">
      <x:c r="A155" s="42"/>
      <x:c r="B155" s="42"/>
      <x:c r="C155" s="42"/>
      <x:c r="D155" s="42"/>
      <x:c r="E155" s="42"/>
      <x:c r="F155" s="42"/>
      <x:c r="G155" s="42"/>
      <x:c r="H155" s="42"/>
      <x:c r="I155" s="42"/>
      <x:c r="J155" s="42"/>
      <x:c r="K155" s="42"/>
      <x:c r="L155" s="42"/>
      <x:c r="M155" s="42"/>
    </x:row>
    <x:row r="156">
      <x:c r="A156" s="42"/>
      <x:c r="B156" s="42"/>
      <x:c r="C156" s="42"/>
      <x:c r="D156" s="42"/>
      <x:c r="E156" s="42"/>
      <x:c r="F156" s="42"/>
      <x:c r="G156" s="42"/>
      <x:c r="H156" s="42"/>
      <x:c r="I156" s="42"/>
      <x:c r="J156" s="42"/>
      <x:c r="K156" s="42"/>
      <x:c r="L156" s="42"/>
      <x:c r="M156" s="42"/>
    </x:row>
    <x:row r="157">
      <x:c r="A157" s="42"/>
      <x:c r="B157" s="42"/>
      <x:c r="C157" s="42"/>
      <x:c r="D157" s="42"/>
      <x:c r="E157" s="42"/>
      <x:c r="F157" s="42"/>
      <x:c r="G157" s="42"/>
      <x:c r="H157" s="42"/>
      <x:c r="I157" s="42"/>
      <x:c r="J157" s="42"/>
      <x:c r="K157" s="42"/>
      <x:c r="L157" s="42"/>
      <x:c r="M157" s="42"/>
    </x:row>
    <x:row r="158">
      <x:c r="A158" s="42"/>
      <x:c r="B158" s="42"/>
      <x:c r="C158" s="42"/>
      <x:c r="D158" s="42"/>
      <x:c r="E158" s="42"/>
      <x:c r="F158" s="42"/>
      <x:c r="G158" s="42"/>
      <x:c r="H158" s="42"/>
      <x:c r="I158" s="42"/>
      <x:c r="J158" s="42"/>
      <x:c r="K158" s="42"/>
      <x:c r="L158" s="42"/>
      <x:c r="M158" s="42"/>
    </x:row>
    <x:row r="159">
      <x:c r="A159" s="42"/>
      <x:c r="B159" s="42"/>
      <x:c r="C159" s="42"/>
      <x:c r="D159" s="42"/>
      <x:c r="E159" s="42"/>
      <x:c r="F159" s="42"/>
      <x:c r="G159" s="42"/>
      <x:c r="H159" s="42"/>
      <x:c r="I159" s="42"/>
      <x:c r="J159" s="42"/>
      <x:c r="K159" s="42"/>
      <x:c r="L159" s="42"/>
      <x:c r="M159" s="42"/>
    </x:row>
    <x:row r="160">
      <x:c r="A160" s="42"/>
      <x:c r="B160" s="42"/>
      <x:c r="C160" s="42"/>
      <x:c r="D160" s="42"/>
      <x:c r="E160" s="42"/>
      <x:c r="F160" s="42"/>
      <x:c r="G160" s="42"/>
      <x:c r="H160" s="42"/>
      <x:c r="I160" s="42"/>
      <x:c r="J160" s="42"/>
      <x:c r="K160" s="42"/>
      <x:c r="L160" s="42"/>
      <x:c r="M160" s="42"/>
    </x:row>
    <x:row r="161">
      <x:c r="A161" s="42"/>
      <x:c r="B161" s="42"/>
      <x:c r="C161" s="42"/>
      <x:c r="D161" s="42"/>
      <x:c r="E161" s="42"/>
      <x:c r="F161" s="42"/>
      <x:c r="G161" s="42"/>
      <x:c r="H161" s="42"/>
      <x:c r="I161" s="42"/>
      <x:c r="J161" s="42"/>
      <x:c r="K161" s="42"/>
      <x:c r="L161" s="42"/>
      <x:c r="M161" s="42"/>
    </x:row>
    <x:row r="162">
      <x:c r="A162" s="42"/>
      <x:c r="B162" s="42"/>
      <x:c r="C162" s="42"/>
      <x:c r="D162" s="42"/>
      <x:c r="E162" s="42"/>
      <x:c r="F162" s="42"/>
      <x:c r="G162" s="42"/>
      <x:c r="H162" s="42"/>
      <x:c r="I162" s="42"/>
      <x:c r="J162" s="42"/>
      <x:c r="K162" s="42"/>
      <x:c r="L162" s="42"/>
      <x:c r="M162" s="42"/>
    </x:row>
    <x:row r="163">
      <x:c r="A163" s="42"/>
      <x:c r="B163" s="42"/>
      <x:c r="C163" s="42"/>
      <x:c r="D163" s="42"/>
      <x:c r="E163" s="42"/>
      <x:c r="F163" s="42"/>
      <x:c r="G163" s="42"/>
      <x:c r="H163" s="42"/>
      <x:c r="I163" s="42"/>
      <x:c r="J163" s="42"/>
      <x:c r="K163" s="42"/>
      <x:c r="L163" s="42"/>
      <x:c r="M163" s="42"/>
    </x:row>
    <x:row r="164">
      <x:c r="A164" s="42"/>
      <x:c r="B164" s="42"/>
      <x:c r="C164" s="42"/>
      <x:c r="D164" s="42"/>
      <x:c r="E164" s="42"/>
      <x:c r="F164" s="42"/>
      <x:c r="G164" s="42"/>
      <x:c r="H164" s="42"/>
      <x:c r="I164" s="42"/>
      <x:c r="J164" s="42"/>
      <x:c r="K164" s="42"/>
      <x:c r="L164" s="42"/>
      <x:c r="M164" s="42"/>
    </x:row>
    <x:row r="165">
      <x:c r="A165" s="42"/>
      <x:c r="B165" s="42"/>
      <x:c r="C165" s="42"/>
      <x:c r="D165" s="42"/>
      <x:c r="E165" s="42"/>
      <x:c r="F165" s="42"/>
      <x:c r="G165" s="42"/>
      <x:c r="H165" s="42"/>
      <x:c r="I165" s="42"/>
      <x:c r="J165" s="42"/>
      <x:c r="K165" s="42"/>
      <x:c r="L165" s="42"/>
      <x:c r="M165" s="42"/>
    </x:row>
    <x:row r="166">
      <x:c r="A166" s="42"/>
      <x:c r="B166" s="42"/>
      <x:c r="C166" s="42"/>
      <x:c r="D166" s="42"/>
      <x:c r="E166" s="42"/>
      <x:c r="F166" s="42"/>
      <x:c r="G166" s="42"/>
      <x:c r="H166" s="42"/>
      <x:c r="I166" s="42"/>
      <x:c r="J166" s="42"/>
      <x:c r="K166" s="42"/>
      <x:c r="L166" s="42"/>
      <x:c r="M166" s="42"/>
    </x:row>
    <x:row r="167">
      <x:c r="A167" s="42"/>
      <x:c r="B167" s="42"/>
      <x:c r="C167" s="42"/>
      <x:c r="D167" s="42"/>
      <x:c r="E167" s="42"/>
      <x:c r="F167" s="42"/>
      <x:c r="G167" s="42"/>
      <x:c r="H167" s="42"/>
      <x:c r="I167" s="42"/>
      <x:c r="J167" s="42"/>
      <x:c r="K167" s="42"/>
      <x:c r="L167" s="42"/>
      <x:c r="M167" s="42"/>
    </x:row>
    <x:row r="168">
      <x:c r="A168" s="42"/>
      <x:c r="B168" s="42"/>
      <x:c r="C168" s="42"/>
      <x:c r="D168" s="42"/>
      <x:c r="E168" s="42"/>
      <x:c r="F168" s="42"/>
      <x:c r="G168" s="42"/>
      <x:c r="H168" s="42"/>
      <x:c r="I168" s="42"/>
      <x:c r="J168" s="42"/>
      <x:c r="K168" s="42"/>
      <x:c r="L168" s="42"/>
      <x:c r="M168" s="42"/>
    </x:row>
    <x:row r="169">
      <x:c r="A169" s="42"/>
      <x:c r="B169" s="42"/>
      <x:c r="C169" s="42"/>
      <x:c r="D169" s="42"/>
      <x:c r="E169" s="42"/>
      <x:c r="F169" s="42"/>
      <x:c r="G169" s="42"/>
      <x:c r="H169" s="42"/>
      <x:c r="I169" s="42"/>
      <x:c r="J169" s="42"/>
      <x:c r="K169" s="42"/>
      <x:c r="L169" s="42"/>
      <x:c r="M169" s="42"/>
    </x:row>
    <x:row r="170">
      <x:c r="A170" s="42"/>
      <x:c r="B170" s="42"/>
      <x:c r="C170" s="42"/>
      <x:c r="D170" s="42"/>
      <x:c r="E170" s="42"/>
      <x:c r="F170" s="42"/>
      <x:c r="G170" s="42"/>
      <x:c r="H170" s="42"/>
      <x:c r="I170" s="42"/>
      <x:c r="J170" s="42"/>
      <x:c r="K170" s="42"/>
      <x:c r="L170" s="42"/>
      <x:c r="M170" s="42"/>
    </x:row>
    <x:row r="171">
      <x:c r="A171" s="42"/>
      <x:c r="B171" s="42"/>
      <x:c r="C171" s="42"/>
      <x:c r="D171" s="42"/>
      <x:c r="E171" s="42"/>
      <x:c r="F171" s="42"/>
      <x:c r="G171" s="42"/>
      <x:c r="H171" s="42"/>
      <x:c r="I171" s="42"/>
      <x:c r="J171" s="42"/>
      <x:c r="K171" s="42"/>
      <x:c r="L171" s="42"/>
      <x:c r="M171" s="42"/>
    </x:row>
    <x:row r="172">
      <x:c r="A172" s="42"/>
      <x:c r="B172" s="42"/>
      <x:c r="C172" s="42"/>
      <x:c r="D172" s="42"/>
      <x:c r="E172" s="42"/>
      <x:c r="F172" s="42"/>
      <x:c r="G172" s="42"/>
      <x:c r="H172" s="42"/>
      <x:c r="I172" s="42"/>
      <x:c r="J172" s="42"/>
      <x:c r="K172" s="42"/>
      <x:c r="L172" s="42"/>
      <x:c r="M172" s="42"/>
    </x:row>
    <x:row r="173">
      <x:c r="A173" s="42"/>
      <x:c r="B173" s="42"/>
      <x:c r="C173" s="42"/>
      <x:c r="D173" s="42"/>
      <x:c r="E173" s="42"/>
      <x:c r="F173" s="42"/>
      <x:c r="G173" s="42"/>
      <x:c r="H173" s="42"/>
      <x:c r="I173" s="42"/>
      <x:c r="J173" s="42"/>
      <x:c r="K173" s="42"/>
      <x:c r="L173" s="42"/>
      <x:c r="M173" s="42"/>
    </x:row>
    <x:row r="174">
      <x:c r="A174" s="42"/>
      <x:c r="B174" s="42"/>
      <x:c r="C174" s="42"/>
      <x:c r="D174" s="42"/>
      <x:c r="E174" s="42"/>
      <x:c r="F174" s="42"/>
      <x:c r="G174" s="42"/>
      <x:c r="H174" s="42"/>
      <x:c r="I174" s="42"/>
      <x:c r="J174" s="42"/>
      <x:c r="K174" s="42"/>
      <x:c r="L174" s="42"/>
      <x:c r="M174" s="42"/>
    </x:row>
    <x:row r="175">
      <x:c r="A175" s="42"/>
      <x:c r="B175" s="42"/>
      <x:c r="C175" s="42"/>
      <x:c r="D175" s="42"/>
      <x:c r="E175" s="42"/>
      <x:c r="F175" s="42"/>
      <x:c r="G175" s="42"/>
      <x:c r="H175" s="42"/>
      <x:c r="I175" s="42"/>
      <x:c r="J175" s="42"/>
      <x:c r="K175" s="42"/>
      <x:c r="L175" s="42"/>
      <x:c r="M175" s="42"/>
    </x:row>
    <x:row r="176">
      <x:c r="A176" s="42"/>
      <x:c r="B176" s="42"/>
      <x:c r="C176" s="42"/>
      <x:c r="D176" s="42"/>
      <x:c r="E176" s="42"/>
      <x:c r="F176" s="42"/>
      <x:c r="G176" s="42"/>
      <x:c r="H176" s="42"/>
      <x:c r="I176" s="42"/>
      <x:c r="J176" s="42"/>
      <x:c r="K176" s="42"/>
      <x:c r="L176" s="42"/>
      <x:c r="M176" s="42"/>
    </x:row>
    <x:row r="177">
      <x:c r="A177" s="42"/>
      <x:c r="B177" s="42"/>
      <x:c r="C177" s="42"/>
      <x:c r="D177" s="42"/>
      <x:c r="E177" s="42"/>
      <x:c r="F177" s="42"/>
      <x:c r="G177" s="42"/>
      <x:c r="H177" s="42"/>
      <x:c r="I177" s="42"/>
      <x:c r="J177" s="42"/>
      <x:c r="K177" s="42"/>
      <x:c r="L177" s="42"/>
      <x:c r="M177" s="42"/>
    </x:row>
    <x:row r="178">
      <x:c r="A178" s="42"/>
      <x:c r="B178" s="42"/>
      <x:c r="C178" s="42"/>
      <x:c r="D178" s="42"/>
      <x:c r="E178" s="42"/>
      <x:c r="F178" s="42"/>
      <x:c r="G178" s="42"/>
      <x:c r="H178" s="42"/>
      <x:c r="I178" s="42"/>
      <x:c r="J178" s="42"/>
      <x:c r="K178" s="42"/>
      <x:c r="L178" s="42"/>
      <x:c r="M178" s="42"/>
    </x:row>
    <x:row r="179">
      <x:c r="A179" s="42"/>
      <x:c r="B179" s="42"/>
      <x:c r="C179" s="42"/>
      <x:c r="D179" s="42"/>
      <x:c r="E179" s="42"/>
      <x:c r="F179" s="42"/>
      <x:c r="G179" s="42"/>
      <x:c r="H179" s="42"/>
      <x:c r="I179" s="42"/>
      <x:c r="J179" s="42"/>
      <x:c r="K179" s="42"/>
      <x:c r="L179" s="42"/>
      <x:c r="M179" s="42"/>
    </x:row>
    <x:row r="180">
      <x:c r="A180" s="42"/>
      <x:c r="B180" s="42"/>
      <x:c r="C180" s="42"/>
      <x:c r="D180" s="42"/>
      <x:c r="E180" s="42"/>
      <x:c r="F180" s="42"/>
      <x:c r="G180" s="42"/>
      <x:c r="H180" s="42"/>
      <x:c r="I180" s="42"/>
      <x:c r="J180" s="42"/>
      <x:c r="K180" s="42"/>
      <x:c r="L180" s="42"/>
      <x:c r="M180" s="42"/>
    </x:row>
    <x:row r="181">
      <x:c r="A181" s="42"/>
      <x:c r="B181" s="42"/>
      <x:c r="C181" s="42"/>
      <x:c r="D181" s="42"/>
      <x:c r="E181" s="42"/>
      <x:c r="F181" s="42"/>
      <x:c r="G181" s="42"/>
      <x:c r="H181" s="42"/>
      <x:c r="I181" s="42"/>
      <x:c r="J181" s="42"/>
      <x:c r="K181" s="42"/>
      <x:c r="L181" s="42"/>
      <x:c r="M181" s="42"/>
    </x:row>
    <x:row r="182">
      <x:c r="A182" s="42"/>
      <x:c r="B182" s="42"/>
      <x:c r="C182" s="42"/>
      <x:c r="D182" s="42"/>
      <x:c r="E182" s="42"/>
      <x:c r="F182" s="42"/>
      <x:c r="G182" s="42"/>
      <x:c r="H182" s="42"/>
      <x:c r="I182" s="42"/>
      <x:c r="J182" s="42"/>
      <x:c r="K182" s="42"/>
      <x:c r="L182" s="42"/>
      <x:c r="M182" s="42"/>
    </x:row>
    <x:row r="183">
      <x:c r="A183" s="42"/>
      <x:c r="B183" s="42"/>
      <x:c r="C183" s="42"/>
      <x:c r="D183" s="42"/>
      <x:c r="E183" s="42"/>
      <x:c r="F183" s="42"/>
      <x:c r="G183" s="42"/>
      <x:c r="H183" s="42"/>
      <x:c r="I183" s="42"/>
      <x:c r="J183" s="42"/>
      <x:c r="K183" s="42"/>
      <x:c r="L183" s="42"/>
      <x:c r="M183" s="42"/>
    </x:row>
    <x:row r="184">
      <x:c r="A184" s="42"/>
      <x:c r="B184" s="42"/>
      <x:c r="C184" s="42"/>
      <x:c r="D184" s="42"/>
      <x:c r="E184" s="42"/>
      <x:c r="F184" s="42"/>
      <x:c r="G184" s="42"/>
      <x:c r="H184" s="42"/>
      <x:c r="I184" s="42"/>
      <x:c r="J184" s="42"/>
      <x:c r="K184" s="42"/>
      <x:c r="L184" s="42"/>
      <x:c r="M184" s="42"/>
    </x:row>
    <x:row r="185">
      <x:c r="A185" s="42"/>
      <x:c r="B185" s="42"/>
      <x:c r="C185" s="42"/>
      <x:c r="D185" s="42"/>
      <x:c r="E185" s="42"/>
      <x:c r="F185" s="42"/>
      <x:c r="G185" s="42"/>
      <x:c r="H185" s="42"/>
      <x:c r="I185" s="42"/>
      <x:c r="J185" s="42"/>
      <x:c r="K185" s="42"/>
      <x:c r="L185" s="42"/>
      <x:c r="M185" s="42"/>
    </x:row>
    <x:row r="186">
      <x:c r="A186" s="42"/>
      <x:c r="B186" s="42"/>
      <x:c r="C186" s="42"/>
      <x:c r="D186" s="42"/>
      <x:c r="E186" s="42"/>
      <x:c r="F186" s="42"/>
      <x:c r="G186" s="42"/>
      <x:c r="H186" s="42"/>
      <x:c r="I186" s="42"/>
      <x:c r="J186" s="42"/>
      <x:c r="K186" s="42"/>
      <x:c r="L186" s="42"/>
      <x:c r="M186" s="42"/>
    </x:row>
    <x:row r="187">
      <x:c r="A187" s="42"/>
      <x:c r="B187" s="42"/>
      <x:c r="C187" s="42"/>
      <x:c r="D187" s="42"/>
      <x:c r="E187" s="42"/>
      <x:c r="F187" s="42"/>
      <x:c r="G187" s="42"/>
      <x:c r="H187" s="42"/>
      <x:c r="I187" s="42"/>
      <x:c r="J187" s="42"/>
      <x:c r="K187" s="42"/>
      <x:c r="L187" s="42"/>
      <x:c r="M187" s="42"/>
    </x:row>
    <x:row r="188">
      <x:c r="A188" s="42"/>
      <x:c r="B188" s="42"/>
      <x:c r="C188" s="42"/>
      <x:c r="D188" s="42"/>
      <x:c r="E188" s="42"/>
      <x:c r="F188" s="42"/>
      <x:c r="G188" s="42"/>
      <x:c r="H188" s="42"/>
      <x:c r="I188" s="42"/>
      <x:c r="J188" s="42"/>
      <x:c r="K188" s="42"/>
      <x:c r="L188" s="42"/>
      <x:c r="M188" s="42"/>
    </x:row>
    <x:row r="189">
      <x:c r="A189" s="42"/>
      <x:c r="B189" s="42"/>
      <x:c r="C189" s="42"/>
      <x:c r="D189" s="42"/>
      <x:c r="E189" s="42"/>
      <x:c r="F189" s="42"/>
      <x:c r="G189" s="42"/>
      <x:c r="H189" s="42"/>
      <x:c r="I189" s="42"/>
      <x:c r="J189" s="42"/>
      <x:c r="K189" s="42"/>
      <x:c r="L189" s="42"/>
      <x:c r="M189" s="42"/>
    </x:row>
    <x:row r="190">
      <x:c r="A190" s="42"/>
      <x:c r="B190" s="42"/>
      <x:c r="C190" s="42"/>
      <x:c r="D190" s="42"/>
      <x:c r="E190" s="42"/>
      <x:c r="F190" s="42"/>
      <x:c r="G190" s="42"/>
      <x:c r="H190" s="42"/>
      <x:c r="I190" s="42"/>
      <x:c r="J190" s="42"/>
      <x:c r="K190" s="42"/>
      <x:c r="L190" s="42"/>
      <x:c r="M190" s="42"/>
    </x:row>
    <x:row r="191">
      <x:c r="A191" s="42"/>
      <x:c r="B191" s="42"/>
      <x:c r="C191" s="42"/>
      <x:c r="D191" s="42"/>
      <x:c r="E191" s="42"/>
      <x:c r="F191" s="42"/>
      <x:c r="G191" s="42"/>
      <x:c r="H191" s="42"/>
      <x:c r="I191" s="42"/>
      <x:c r="J191" s="42"/>
      <x:c r="K191" s="42"/>
      <x:c r="L191" s="42"/>
      <x:c r="M191" s="42"/>
    </x:row>
    <x:row r="192">
      <x:c r="A192" s="42"/>
      <x:c r="B192" s="42"/>
      <x:c r="C192" s="42"/>
      <x:c r="D192" s="42"/>
      <x:c r="E192" s="42"/>
      <x:c r="F192" s="42"/>
      <x:c r="G192" s="42"/>
      <x:c r="H192" s="42"/>
      <x:c r="I192" s="42"/>
      <x:c r="J192" s="42"/>
      <x:c r="K192" s="42"/>
      <x:c r="L192" s="42"/>
      <x:c r="M192" s="42"/>
    </x:row>
    <x:row r="193">
      <x:c r="A193" s="42"/>
      <x:c r="B193" s="42"/>
      <x:c r="C193" s="42"/>
      <x:c r="D193" s="42"/>
      <x:c r="E193" s="42"/>
      <x:c r="F193" s="42"/>
      <x:c r="G193" s="42"/>
      <x:c r="H193" s="42"/>
      <x:c r="I193" s="42"/>
      <x:c r="J193" s="42"/>
      <x:c r="K193" s="42"/>
      <x:c r="L193" s="42"/>
      <x:c r="M193" s="42"/>
    </x:row>
    <x:row r="194">
      <x:c r="A194" s="42"/>
      <x:c r="B194" s="42"/>
      <x:c r="C194" s="42"/>
      <x:c r="D194" s="42"/>
      <x:c r="E194" s="42"/>
      <x:c r="F194" s="42"/>
      <x:c r="G194" s="42"/>
      <x:c r="H194" s="42"/>
      <x:c r="I194" s="42"/>
      <x:c r="J194" s="42"/>
      <x:c r="K194" s="42"/>
      <x:c r="L194" s="42"/>
      <x:c r="M194" s="42"/>
    </x:row>
    <x:row r="195">
      <x:c r="A195" s="42"/>
      <x:c r="B195" s="42"/>
      <x:c r="C195" s="42"/>
      <x:c r="D195" s="42"/>
      <x:c r="E195" s="42"/>
      <x:c r="F195" s="42"/>
      <x:c r="G195" s="42"/>
      <x:c r="H195" s="42"/>
      <x:c r="I195" s="42"/>
      <x:c r="J195" s="42"/>
      <x:c r="K195" s="42"/>
      <x:c r="L195" s="42"/>
      <x:c r="M195" s="42"/>
    </x:row>
    <x:row r="196">
      <x:c r="A196" s="42"/>
      <x:c r="B196" s="42"/>
      <x:c r="C196" s="42"/>
      <x:c r="D196" s="42"/>
      <x:c r="E196" s="42"/>
      <x:c r="F196" s="42"/>
      <x:c r="G196" s="42"/>
      <x:c r="H196" s="42"/>
      <x:c r="I196" s="42"/>
      <x:c r="J196" s="42"/>
      <x:c r="K196" s="42"/>
      <x:c r="L196" s="42"/>
      <x:c r="M196" s="42"/>
    </x:row>
    <x:row r="197">
      <x:c r="A197" s="42"/>
      <x:c r="B197" s="42"/>
      <x:c r="C197" s="42"/>
      <x:c r="D197" s="42"/>
      <x:c r="E197" s="42"/>
      <x:c r="F197" s="42"/>
      <x:c r="G197" s="42"/>
      <x:c r="H197" s="42"/>
      <x:c r="I197" s="42"/>
      <x:c r="J197" s="42"/>
      <x:c r="K197" s="42"/>
      <x:c r="L197" s="42"/>
      <x:c r="M197" s="42"/>
    </x:row>
    <x:row r="198">
      <x:c r="A198" s="42"/>
      <x:c r="B198" s="42"/>
      <x:c r="C198" s="42"/>
      <x:c r="D198" s="42"/>
      <x:c r="E198" s="42"/>
      <x:c r="F198" s="42"/>
      <x:c r="G198" s="42"/>
      <x:c r="H198" s="42"/>
      <x:c r="I198" s="42"/>
      <x:c r="J198" s="42"/>
      <x:c r="K198" s="42"/>
      <x:c r="L198" s="42"/>
      <x:c r="M198" s="42"/>
    </x:row>
    <x:row r="199">
      <x:c r="A199" s="42"/>
      <x:c r="B199" s="42"/>
      <x:c r="C199" s="42"/>
      <x:c r="D199" s="42"/>
      <x:c r="E199" s="42"/>
      <x:c r="F199" s="42"/>
      <x:c r="G199" s="42"/>
      <x:c r="H199" s="42"/>
      <x:c r="I199" s="42"/>
      <x:c r="J199" s="42"/>
      <x:c r="K199" s="42"/>
      <x:c r="L199" s="42"/>
      <x:c r="M199" s="42"/>
    </x:row>
    <x:row r="200">
      <x:c r="A200" s="42"/>
      <x:c r="B200" s="42"/>
      <x:c r="C200" s="42"/>
      <x:c r="D200" s="42"/>
      <x:c r="E200" s="42"/>
      <x:c r="F200" s="42"/>
      <x:c r="G200" s="42"/>
      <x:c r="H200" s="42"/>
      <x:c r="I200" s="42"/>
      <x:c r="J200" s="42"/>
      <x:c r="K200" s="42"/>
      <x:c r="L200" s="42"/>
      <x:c r="M200" s="42"/>
    </x:row>
  </x:sheetData>
  <x:mergeCells>
    <x:mergeCell ref="A1:M1"/>
    <x:mergeCell ref="A2:M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" hidden="0" customWidth="1"/>
    <x:col min="2" max="2" width="11.880000114440918" hidden="0" customWidth="1"/>
    <x:col min="3" max="3" width="11.880000114440918" hidden="0" customWidth="1"/>
    <x:col min="4" max="4" width="11.880000114440918" hidden="0" customWidth="1"/>
    <x:col min="5" max="5" width="11.880000114440918" hidden="0" customWidth="1"/>
    <x:col min="6" max="6" width="11.880000114440918" hidden="0" customWidth="1"/>
    <x:col min="7" max="7" width="11.880000114440918" hidden="0" customWidth="1"/>
    <x:col min="8" max="8" width="11.880000114440918" hidden="0" customWidth="1"/>
    <x:col min="9" max="9" width="11.880000114440918" hidden="0" customWidth="1"/>
    <x:col min="10" max="10" width="11.880000114440918" hidden="0" customWidth="1"/>
    <x:col min="11" max="11" width="11.880000114440918" hidden="0" customWidth="1"/>
    <x:col min="12" max="12" width="11.880000114440918" hidden="0" customWidth="1"/>
    <x:col min="13" max="13" width="11.880000114440918" hidden="0" customWidth="1"/>
  </x:cols>
  <x:sheetData>
    <x:row r="1" ht="25.5" customHeight="1">
      <x:c r="A1" s="41" t="str">
        <x:v>Лист 2. Пользовательская воронка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</x:row>
    <x:row r="2" ht="22.5" customHeight="1">
      <x:c r="A2" s="43" t="str">
        <x:v>Путь: сайт → бот → первый AI-анализ → активные пользователи → платящие клиенты.</x:v>
      </x:c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</x:row>
    <x:row r="3">
      <x:c r="A3" s="42"/>
      <x:c r="B3" s="42"/>
      <x:c r="C3" s="42"/>
      <x:c r="D3" s="42"/>
      <x:c r="E3" s="42"/>
      <x:c r="F3" s="42"/>
      <x:c r="G3" s="42"/>
      <x:c r="H3" s="42"/>
      <x:c r="I3" s="42"/>
      <x:c r="J3" s="42"/>
      <x:c r="K3" s="42"/>
      <x:c r="L3" s="42"/>
      <x:c r="M3" s="42"/>
    </x:row>
    <x:row r="4">
      <x:c r="A4" s="44" t="str">
        <x:v>Показатель</x:v>
      </x:c>
      <x:c r="B4" s="44" t="str">
        <x:v>М1</x:v>
      </x:c>
      <x:c r="C4" s="44" t="str">
        <x:v>М2</x:v>
      </x:c>
      <x:c r="D4" s="44" t="str">
        <x:v>М3</x:v>
      </x:c>
      <x:c r="E4" s="44" t="str">
        <x:v>М4</x:v>
      </x:c>
      <x:c r="F4" s="44" t="str">
        <x:v>М5</x:v>
      </x:c>
      <x:c r="G4" s="44" t="str">
        <x:v>М6</x:v>
      </x:c>
      <x:c r="H4" s="44" t="str">
        <x:v>М7</x:v>
      </x:c>
      <x:c r="I4" s="44" t="str">
        <x:v>М8</x:v>
      </x:c>
      <x:c r="J4" s="44" t="str">
        <x:v>М9</x:v>
      </x:c>
      <x:c r="K4" s="44" t="str">
        <x:v>М10</x:v>
      </x:c>
      <x:c r="L4" s="44" t="str">
        <x:v>М11</x:v>
      </x:c>
      <x:c r="M4" s="44" t="str">
        <x:v>М12</x:v>
      </x:c>
    </x:row>
    <x:row r="5">
      <x:c r="A5" s="45" t="str">
        <x:v>Посетители сайта</x:v>
      </x:c>
      <x:c r="B5" s="60" t="n">
        <x:f>'Исходные данные'!B43</x:f>
        <x:v>1500</x:v>
      </x:c>
      <x:c r="C5" s="60" t="n">
        <x:f>'Исходные данные'!C43</x:f>
        <x:v>3000</x:v>
      </x:c>
      <x:c r="D5" s="60" t="n">
        <x:f>'Исходные данные'!D43</x:f>
        <x:v>6000</x:v>
      </x:c>
      <x:c r="E5" s="60" t="n">
        <x:f>'Исходные данные'!E43</x:f>
        <x:v>10000</x:v>
      </x:c>
      <x:c r="F5" s="60" t="n">
        <x:f>'Исходные данные'!F43</x:f>
        <x:v>18000</x:v>
      </x:c>
      <x:c r="G5" s="60" t="n">
        <x:f>'Исходные данные'!G43</x:f>
        <x:v>30000</x:v>
      </x:c>
      <x:c r="H5" s="60" t="n">
        <x:f>'Исходные данные'!H43</x:f>
        <x:v>45000</x:v>
      </x:c>
      <x:c r="I5" s="60" t="n">
        <x:f>'Исходные данные'!I43</x:f>
        <x:v>65000</x:v>
      </x:c>
      <x:c r="J5" s="60" t="n">
        <x:f>'Исходные данные'!J43</x:f>
        <x:v>85000</x:v>
      </x:c>
      <x:c r="K5" s="60" t="n">
        <x:f>'Исходные данные'!K43</x:f>
        <x:v>110000</x:v>
      </x:c>
      <x:c r="L5" s="60" t="n">
        <x:f>'Исходные данные'!L43</x:f>
        <x:v>130000</x:v>
      </x:c>
      <x:c r="M5" s="60" t="n">
        <x:f>'Исходные данные'!M43</x:f>
        <x:v>150000</x:v>
      </x:c>
    </x:row>
    <x:row r="6">
      <x:c r="A6" s="45" t="str">
        <x:v>Переход Site → Bot</x:v>
      </x:c>
      <x:c r="B6" s="61" t="n">
        <x:f>'Исходные данные'!B44</x:f>
        <x:v>0.22</x:v>
      </x:c>
      <x:c r="C6" s="61" t="n">
        <x:f>'Исходные данные'!C44</x:f>
        <x:v>0.23</x:v>
      </x:c>
      <x:c r="D6" s="61" t="n">
        <x:f>'Исходные данные'!D44</x:f>
        <x:v>0.24</x:v>
      </x:c>
      <x:c r="E6" s="61" t="n">
        <x:f>'Исходные данные'!E44</x:f>
        <x:v>0.25</x:v>
      </x:c>
      <x:c r="F6" s="61" t="n">
        <x:f>'Исходные данные'!F44</x:f>
        <x:v>0.26</x:v>
      </x:c>
      <x:c r="G6" s="61" t="n">
        <x:f>'Исходные данные'!G44</x:f>
        <x:v>0.27</x:v>
      </x:c>
      <x:c r="H6" s="61" t="n">
        <x:f>'Исходные данные'!H44</x:f>
        <x:v>0.28</x:v>
      </x:c>
      <x:c r="I6" s="61" t="n">
        <x:f>'Исходные данные'!I44</x:f>
        <x:v>0.29</x:v>
      </x:c>
      <x:c r="J6" s="61" t="n">
        <x:f>'Исходные данные'!J44</x:f>
        <x:v>0.3</x:v>
      </x:c>
      <x:c r="K6" s="61" t="n">
        <x:f>'Исходные данные'!K44</x:f>
        <x:v>0.31</x:v>
      </x:c>
      <x:c r="L6" s="61" t="n">
        <x:f>'Исходные данные'!L44</x:f>
        <x:v>0.32</x:v>
      </x:c>
      <x:c r="M6" s="61" t="n">
        <x:f>'Исходные данные'!M44</x:f>
        <x:v>0.33</x:v>
      </x:c>
    </x:row>
    <x:row r="7">
      <x:c r="A7" s="45" t="str">
        <x:v>Запуски Telegram-бота</x:v>
      </x:c>
      <x:c r="B7" s="62" t="n">
        <x:f>ROUND(B5*B6,0)</x:f>
        <x:v>330</x:v>
      </x:c>
      <x:c r="C7" s="62" t="n">
        <x:f>ROUND(C5*C6,0)</x:f>
        <x:v>690</x:v>
      </x:c>
      <x:c r="D7" s="62" t="n">
        <x:f>ROUND(D5*D6,0)</x:f>
        <x:v>1440</x:v>
      </x:c>
      <x:c r="E7" s="62" t="n">
        <x:f>ROUND(E5*E6,0)</x:f>
        <x:v>2500</x:v>
      </x:c>
      <x:c r="F7" s="62" t="n">
        <x:f>ROUND(F5*F6,0)</x:f>
        <x:v>4680</x:v>
      </x:c>
      <x:c r="G7" s="62" t="n">
        <x:f>ROUND(G5*G6,0)</x:f>
        <x:v>8100</x:v>
      </x:c>
      <x:c r="H7" s="62" t="n">
        <x:f>ROUND(H5*H6,0)</x:f>
        <x:v>12600</x:v>
      </x:c>
      <x:c r="I7" s="62" t="n">
        <x:f>ROUND(I5*I6,0)</x:f>
        <x:v>18850</x:v>
      </x:c>
      <x:c r="J7" s="62" t="n">
        <x:f>ROUND(J5*J6,0)</x:f>
        <x:v>25500</x:v>
      </x:c>
      <x:c r="K7" s="62" t="n">
        <x:f>ROUND(K5*K6,0)</x:f>
        <x:v>34100</x:v>
      </x:c>
      <x:c r="L7" s="62" t="n">
        <x:f>ROUND(L5*L6,0)</x:f>
        <x:v>41600</x:v>
      </x:c>
      <x:c r="M7" s="62" t="n">
        <x:f>ROUND(M5*M6,0)</x:f>
        <x:v>49500</x:v>
      </x:c>
    </x:row>
    <x:row r="8">
      <x:c r="A8" s="45" t="str">
        <x:v>Bot start → первый AI-анализ</x:v>
      </x:c>
      <x:c r="B8" s="62" t="n">
        <x:f>'Исходные данные'!B45</x:f>
        <x:v>0.35</x:v>
      </x:c>
      <x:c r="C8" s="62" t="n">
        <x:f>'Исходные данные'!C45</x:f>
        <x:v>0.36</x:v>
      </x:c>
      <x:c r="D8" s="62" t="n">
        <x:f>'Исходные данные'!D45</x:f>
        <x:v>0.37</x:v>
      </x:c>
      <x:c r="E8" s="62" t="n">
        <x:f>'Исходные данные'!E45</x:f>
        <x:v>0.38</x:v>
      </x:c>
      <x:c r="F8" s="62" t="n">
        <x:f>'Исходные данные'!F45</x:f>
        <x:v>0.39</x:v>
      </x:c>
      <x:c r="G8" s="62" t="n">
        <x:f>'Исходные данные'!G45</x:f>
        <x:v>0.4</x:v>
      </x:c>
      <x:c r="H8" s="62" t="n">
        <x:f>'Исходные данные'!H45</x:f>
        <x:v>0.41</x:v>
      </x:c>
      <x:c r="I8" s="62" t="n">
        <x:f>'Исходные данные'!I45</x:f>
        <x:v>0.42</x:v>
      </x:c>
      <x:c r="J8" s="62" t="n">
        <x:f>'Исходные данные'!J45</x:f>
        <x:v>0.43</x:v>
      </x:c>
      <x:c r="K8" s="62" t="n">
        <x:f>'Исходные данные'!K45</x:f>
        <x:v>0.44</x:v>
      </x:c>
      <x:c r="L8" s="62" t="n">
        <x:f>'Исходные данные'!L45</x:f>
        <x:v>0.45</x:v>
      </x:c>
      <x:c r="M8" s="62" t="n">
        <x:f>'Исходные данные'!M45</x:f>
        <x:v>0.46</x:v>
      </x:c>
    </x:row>
    <x:row r="9">
      <x:c r="A9" s="45" t="str">
        <x:v>Новые активированные пользователи</x:v>
      </x:c>
      <x:c r="B9" s="62" t="n">
        <x:f>ROUND(B7*B8,0)</x:f>
        <x:v>115</x:v>
      </x:c>
      <x:c r="C9" s="62" t="n">
        <x:f>ROUND(C7*C8,0)</x:f>
        <x:v>248</x:v>
      </x:c>
      <x:c r="D9" s="62" t="n">
        <x:f>ROUND(D7*D8,0)</x:f>
        <x:v>533</x:v>
      </x:c>
      <x:c r="E9" s="62" t="n">
        <x:f>ROUND(E7*E8,0)</x:f>
        <x:v>950</x:v>
      </x:c>
      <x:c r="F9" s="62" t="n">
        <x:f>ROUND(F7*F8,0)</x:f>
        <x:v>1825</x:v>
      </x:c>
      <x:c r="G9" s="62" t="n">
        <x:f>ROUND(G7*G8,0)</x:f>
        <x:v>3240</x:v>
      </x:c>
      <x:c r="H9" s="62" t="n">
        <x:f>ROUND(H7*H8,0)</x:f>
        <x:v>5166</x:v>
      </x:c>
      <x:c r="I9" s="62" t="n">
        <x:f>ROUND(I7*I8,0)</x:f>
        <x:v>7917</x:v>
      </x:c>
      <x:c r="J9" s="62" t="n">
        <x:f>ROUND(J7*J8,0)</x:f>
        <x:v>10965</x:v>
      </x:c>
      <x:c r="K9" s="62" t="n">
        <x:f>ROUND(K7*K8,0)</x:f>
        <x:v>15004</x:v>
      </x:c>
      <x:c r="L9" s="62" t="n">
        <x:f>ROUND(L7*L8,0)</x:f>
        <x:v>18720</x:v>
      </x:c>
      <x:c r="M9" s="62" t="n">
        <x:f>ROUND(M7*M8,0)</x:f>
        <x:v>22770</x:v>
      </x:c>
    </x:row>
    <x:row r="10">
      <x:c r="A10" s="45" t="str">
        <x:v>Активные Free пользователи EOM</x:v>
      </x:c>
      <x:c r="B10" s="62" t="n">
        <x:f>ROUND(B9,0)</x:f>
        <x:v>115</x:v>
      </x:c>
      <x:c r="C10" s="62" t="n">
        <x:f>ROUND(B10*(1-'Исходные данные'!$B$27)+C9,0)</x:f>
        <x:v>323</x:v>
      </x:c>
      <x:c r="D10" s="62" t="n">
        <x:f>ROUND(C10*(1-'Исходные данные'!$B$27)+D9,0)</x:f>
        <x:v>743</x:v>
      </x:c>
      <x:c r="E10" s="62" t="n">
        <x:f>ROUND(D10*(1-'Исходные данные'!$B$27)+E9,0)</x:f>
        <x:v>1433</x:v>
      </x:c>
      <x:c r="F10" s="62" t="n">
        <x:f>ROUND(E10*(1-'Исходные данные'!$B$27)+F9,0)</x:f>
        <x:v>2756</x:v>
      </x:c>
      <x:c r="G10" s="62" t="n">
        <x:f>ROUND(F10*(1-'Исходные данные'!$B$27)+G9,0)</x:f>
        <x:v>5031</x:v>
      </x:c>
      <x:c r="H10" s="62" t="n">
        <x:f>ROUND(G10*(1-'Исходные данные'!$B$27)+H9,0)</x:f>
        <x:v>8436</x:v>
      </x:c>
      <x:c r="I10" s="62" t="n">
        <x:f>ROUND(H10*(1-'Исходные данные'!$B$27)+I9,0)</x:f>
        <x:v>13400</x:v>
      </x:c>
      <x:c r="J10" s="62" t="n">
        <x:f>ROUND(I10*(1-'Исходные данные'!$B$27)+J9,0)</x:f>
        <x:v>19675</x:v>
      </x:c>
      <x:c r="K10" s="62" t="n">
        <x:f>ROUND(J10*(1-'Исходные данные'!$B$27)+K9,0)</x:f>
        <x:v>27793</x:v>
      </x:c>
      <x:c r="L10" s="62" t="n">
        <x:f>ROUND(K10*(1-'Исходные данные'!$B$27)+L9,0)</x:f>
        <x:v>36785</x:v>
      </x:c>
      <x:c r="M10" s="62" t="n">
        <x:f>ROUND(L10*(1-'Исходные данные'!$B$27)+M9,0)</x:f>
        <x:v>46680</x:v>
      </x:c>
    </x:row>
    <x:row r="11">
      <x:c r="A11" s="45" t="str">
        <x:v>Новые платящие из активаций</x:v>
      </x:c>
      <x:c r="B11" s="62" t="n">
        <x:f>'Конверсии по тарифам'!B26</x:f>
        <x:v>3</x:v>
      </x:c>
      <x:c r="C11" s="62" t="n">
        <x:f>'Конверсии по тарифам'!C26</x:f>
        <x:v>5</x:v>
      </x:c>
      <x:c r="D11" s="62" t="n">
        <x:f>'Конверсии по тарифам'!D26</x:f>
        <x:v>15</x:v>
      </x:c>
      <x:c r="E11" s="62" t="n">
        <x:f>'Конверсии по тарифам'!E26</x:f>
        <x:v>28</x:v>
      </x:c>
      <x:c r="F11" s="62" t="n">
        <x:f>'Конверсии по тарифам'!F26</x:f>
        <x:v>57</x:v>
      </x:c>
      <x:c r="G11" s="62" t="n">
        <x:f>'Конверсии по тарифам'!G26</x:f>
        <x:v>109</x:v>
      </x:c>
      <x:c r="H11" s="62" t="n">
        <x:f>'Конверсии по тарифам'!H26</x:f>
        <x:v>181</x:v>
      </x:c>
      <x:c r="I11" s="62" t="n">
        <x:f>'Конверсии по тарифам'!I26</x:f>
        <x:v>299</x:v>
      </x:c>
      <x:c r="J11" s="62" t="n">
        <x:f>'Конверсии по тарифам'!J26</x:f>
        <x:v>431</x:v>
      </x:c>
      <x:c r="K11" s="62" t="n">
        <x:f>'Конверсии по тарифам'!K26</x:f>
        <x:v>629</x:v>
      </x:c>
      <x:c r="L11" s="62" t="n">
        <x:f>'Конверсии по тарифам'!L26</x:f>
        <x:v>814</x:v>
      </x:c>
      <x:c r="M11" s="62" t="n">
        <x:f>'Конверсии по тарифам'!M26</x:f>
        <x:v>1027</x:v>
      </x:c>
    </x:row>
    <x:row r="12">
      <x:c r="A12" s="45" t="str">
        <x:v>Всего платящих EOM</x:v>
      </x:c>
      <x:c r="B12" s="62" t="n">
        <x:f>'Конверсии по тарифам'!B25</x:f>
        <x:v>3</x:v>
      </x:c>
      <x:c r="C12" s="62" t="n">
        <x:f>'Конверсии по тарифам'!C25</x:f>
        <x:v>8</x:v>
      </x:c>
      <x:c r="D12" s="62" t="n">
        <x:f>'Конверсии по тарифам'!D25</x:f>
        <x:v>22</x:v>
      </x:c>
      <x:c r="E12" s="62" t="n">
        <x:f>'Конверсии по тарифам'!E25</x:f>
        <x:v>47</x:v>
      </x:c>
      <x:c r="F12" s="62" t="n">
        <x:f>'Конверсии по тарифам'!F25</x:f>
        <x:v>98</x:v>
      </x:c>
      <x:c r="G12" s="62" t="n">
        <x:f>'Конверсии по тарифам'!G25</x:f>
        <x:v>195</x:v>
      </x:c>
      <x:c r="H12" s="62" t="n">
        <x:f>'Конверсии по тарифам'!H25</x:f>
        <x:v>353</x:v>
      </x:c>
      <x:c r="I12" s="62" t="n">
        <x:f>'Конверсии по тарифам'!I25</x:f>
        <x:v>613</x:v>
      </x:c>
      <x:c r="J12" s="62" t="n">
        <x:f>'Конверсии по тарифам'!J25</x:f>
        <x:v>981</x:v>
      </x:c>
      <x:c r="K12" s="62" t="n">
        <x:f>'Конверсии по тарифам'!K25</x:f>
        <x:v>1510</x:v>
      </x:c>
      <x:c r="L12" s="62" t="n">
        <x:f>'Конверсии по тарифам'!L25</x:f>
        <x:v>2185</x:v>
      </x:c>
      <x:c r="M12" s="62" t="n">
        <x:f>'Конверсии по тарифам'!M25</x:f>
        <x:v>3013</x:v>
      </x:c>
    </x:row>
    <x:row r="13">
      <x:c r="A13" s="45" t="str">
        <x:v>Всего активных пользователей EOM</x:v>
      </x:c>
      <x:c r="B13" s="62" t="n">
        <x:f>B10+B12</x:f>
        <x:v>118</x:v>
      </x:c>
      <x:c r="C13" s="62" t="n">
        <x:f>C10+C12</x:f>
        <x:v>331</x:v>
      </x:c>
      <x:c r="D13" s="62" t="n">
        <x:f>D10+D12</x:f>
        <x:v>765</x:v>
      </x:c>
      <x:c r="E13" s="62" t="n">
        <x:f>E10+E12</x:f>
        <x:v>1480</x:v>
      </x:c>
      <x:c r="F13" s="62" t="n">
        <x:f>F10+F12</x:f>
        <x:v>2854</x:v>
      </x:c>
      <x:c r="G13" s="62" t="n">
        <x:f>G10+G12</x:f>
        <x:v>5226</x:v>
      </x:c>
      <x:c r="H13" s="62" t="n">
        <x:f>H10+H12</x:f>
        <x:v>8789</x:v>
      </x:c>
      <x:c r="I13" s="62" t="n">
        <x:f>I10+I12</x:f>
        <x:v>14013</x:v>
      </x:c>
      <x:c r="J13" s="62" t="n">
        <x:f>J10+J12</x:f>
        <x:v>20656</x:v>
      </x:c>
      <x:c r="K13" s="62" t="n">
        <x:f>K10+K12</x:f>
        <x:v>29303</x:v>
      </x:c>
      <x:c r="L13" s="62" t="n">
        <x:f>L10+L12</x:f>
        <x:v>38970</x:v>
      </x:c>
      <x:c r="M13" s="62" t="n">
        <x:f>M10+M12</x:f>
        <x:v>49693</x:v>
      </x:c>
    </x:row>
    <x:row r="14">
      <x:c r="A14" s="45" t="str">
        <x:v>Конверсия визит → первый анализ</x:v>
      </x:c>
      <x:c r="B14" s="63" t="n">
        <x:f>IFERROR(B9/B5,0)</x:f>
        <x:v>0.07666666666666666</x:v>
      </x:c>
      <x:c r="C14" s="63" t="n">
        <x:f>IFERROR(C9/C5,0)</x:f>
        <x:v>0.08266666666666667</x:v>
      </x:c>
      <x:c r="D14" s="63" t="n">
        <x:f>IFERROR(D9/D5,0)</x:f>
        <x:v>0.08883333333333333</x:v>
      </x:c>
      <x:c r="E14" s="63" t="n">
        <x:f>IFERROR(E9/E5,0)</x:f>
        <x:v>0.095</x:v>
      </x:c>
      <x:c r="F14" s="63" t="n">
        <x:f>IFERROR(F9/F5,0)</x:f>
        <x:v>0.10138888888888889</x:v>
      </x:c>
      <x:c r="G14" s="63" t="n">
        <x:f>IFERROR(G9/G5,0)</x:f>
        <x:v>0.108</x:v>
      </x:c>
      <x:c r="H14" s="63" t="n">
        <x:f>IFERROR(H9/H5,0)</x:f>
        <x:v>0.1148</x:v>
      </x:c>
      <x:c r="I14" s="63" t="n">
        <x:f>IFERROR(I9/I5,0)</x:f>
        <x:v>0.1218</x:v>
      </x:c>
      <x:c r="J14" s="63" t="n">
        <x:f>IFERROR(J9/J5,0)</x:f>
        <x:v>0.129</x:v>
      </x:c>
      <x:c r="K14" s="63" t="n">
        <x:f>IFERROR(K9/K5,0)</x:f>
        <x:v>0.1364</x:v>
      </x:c>
      <x:c r="L14" s="63" t="n">
        <x:f>IFERROR(L9/L5,0)</x:f>
        <x:v>0.144</x:v>
      </x:c>
      <x:c r="M14" s="63" t="n">
        <x:f>IFERROR(M9/M5,0)</x:f>
        <x:v>0.1518</x:v>
      </x:c>
    </x:row>
    <x:row r="15">
      <x:c r="A15" s="45" t="str">
        <x:v>Конверсия активированный → новый платящий</x:v>
      </x:c>
      <x:c r="B15" s="63" t="n">
        <x:f>IFERROR(B11/B9,0)</x:f>
        <x:v>0.02608695652173913</x:v>
      </x:c>
      <x:c r="C15" s="63" t="n">
        <x:f>IFERROR(C11/C9,0)</x:f>
        <x:v>0.020161290322580645</x:v>
      </x:c>
      <x:c r="D15" s="63" t="n">
        <x:f>IFERROR(D11/D9,0)</x:f>
        <x:v>0.028142589118198873</x:v>
      </x:c>
      <x:c r="E15" s="63" t="n">
        <x:f>IFERROR(E11/E9,0)</x:f>
        <x:v>0.029473684210526315</x:v>
      </x:c>
      <x:c r="F15" s="63" t="n">
        <x:f>IFERROR(F11/F9,0)</x:f>
        <x:v>0.03123287671232877</x:v>
      </x:c>
      <x:c r="G15" s="63" t="n">
        <x:f>IFERROR(G11/G9,0)</x:f>
        <x:v>0.03364197530864198</x:v>
      </x:c>
      <x:c r="H15" s="63" t="n">
        <x:f>IFERROR(H11/H9,0)</x:f>
        <x:v>0.035036778939217965</x:v>
      </x:c>
      <x:c r="I15" s="63" t="n">
        <x:f>IFERROR(I11/I9,0)</x:f>
        <x:v>0.03776683087027915</x:v>
      </x:c>
      <x:c r="J15" s="63" t="n">
        <x:f>IFERROR(J11/J9,0)</x:f>
        <x:v>0.03930688554491564</x:v>
      </x:c>
      <x:c r="K15" s="63" t="n">
        <x:f>IFERROR(K11/K9,0)</x:f>
        <x:v>0.04192215409224207</x:v>
      </x:c>
      <x:c r="L15" s="63" t="n">
        <x:f>IFERROR(L11/L9,0)</x:f>
        <x:v>0.04348290598290598</x:v>
      </x:c>
      <x:c r="M15" s="63" t="n">
        <x:f>IFERROR(M11/M9,0)</x:f>
        <x:v>0.04510320597277119</x:v>
      </x:c>
    </x:row>
    <x:row r="16">
      <x:c r="A16" s="45" t="str">
        <x:v>Paying penetration от активной базы</x:v>
      </x:c>
      <x:c r="B16" s="63" t="n">
        <x:f>IFERROR(B12/B13,0)</x:f>
        <x:v>0.025423728813559324</x:v>
      </x:c>
      <x:c r="C16" s="63" t="n">
        <x:f>IFERROR(C12/C13,0)</x:f>
        <x:v>0.02416918429003021</x:v>
      </x:c>
      <x:c r="D16" s="63" t="n">
        <x:f>IFERROR(D12/D13,0)</x:f>
        <x:v>0.02875816993464052</x:v>
      </x:c>
      <x:c r="E16" s="63" t="n">
        <x:f>IFERROR(E12/E13,0)</x:f>
        <x:v>0.03175675675675676</x:v>
      </x:c>
      <x:c r="F16" s="63" t="n">
        <x:f>IFERROR(F12/F13,0)</x:f>
        <x:v>0.03433777154870357</x:v>
      </x:c>
      <x:c r="G16" s="63" t="n">
        <x:f>IFERROR(G12/G13,0)</x:f>
        <x:v>0.03731343283582089</x:v>
      </x:c>
      <x:c r="H16" s="63" t="n">
        <x:f>IFERROR(H12/H13,0)</x:f>
        <x:v>0.04016384116509273</x:v>
      </x:c>
      <x:c r="I16" s="63" t="n">
        <x:f>IFERROR(I12/I13,0)</x:f>
        <x:v>0.04374509384143296</x:v>
      </x:c>
      <x:c r="J16" s="63" t="n">
        <x:f>IFERROR(J12/J13,0)</x:f>
        <x:v>0.04749225406661503</x:v>
      </x:c>
      <x:c r="K16" s="63" t="n">
        <x:f>IFERROR(K12/K13,0)</x:f>
        <x:v>0.051530560010920386</x:v>
      </x:c>
      <x:c r="L16" s="63" t="n">
        <x:f>IFERROR(L12/L13,0)</x:f>
        <x:v>0.05606877084937131</x:v>
      </x:c>
      <x:c r="M16" s="63" t="n">
        <x:f>IFERROR(M12/M13,0)</x:f>
        <x:v>0.060632282212786506</x:v>
      </x:c>
    </x:row>
    <x:row r="17">
      <x:c r="A17" s="42"/>
      <x:c r="B17" s="42"/>
      <x:c r="C17" s="42"/>
      <x:c r="D17" s="42"/>
      <x:c r="E17" s="42"/>
      <x:c r="F17" s="42"/>
      <x:c r="G17" s="42"/>
      <x:c r="H17" s="42"/>
      <x:c r="I17" s="42"/>
      <x:c r="J17" s="42"/>
      <x:c r="K17" s="42"/>
      <x:c r="L17" s="42"/>
      <x:c r="M17" s="42"/>
    </x:row>
    <x:row r="18">
      <x:c r="A18" s="42"/>
      <x:c r="B18" s="42"/>
      <x:c r="C18" s="42"/>
      <x:c r="D18" s="42"/>
      <x:c r="E18" s="42"/>
      <x:c r="F18" s="42"/>
      <x:c r="G18" s="42"/>
      <x:c r="H18" s="42"/>
      <x:c r="I18" s="42"/>
      <x:c r="J18" s="42"/>
      <x:c r="K18" s="42"/>
      <x:c r="L18" s="42"/>
      <x:c r="M18" s="42"/>
    </x:row>
    <x:row r="19">
      <x:c r="A19" s="42"/>
      <x:c r="B19" s="42"/>
      <x:c r="C19" s="42"/>
      <x:c r="D19" s="42"/>
      <x:c r="E19" s="42"/>
      <x:c r="F19" s="42"/>
      <x:c r="G19" s="42"/>
      <x:c r="H19" s="42"/>
      <x:c r="I19" s="42"/>
      <x:c r="J19" s="42"/>
      <x:c r="K19" s="42"/>
      <x:c r="L19" s="42"/>
      <x:c r="M19" s="42"/>
    </x:row>
    <x:row r="20">
      <x:c r="A20" s="42"/>
      <x:c r="B20" s="42"/>
      <x:c r="C20" s="42"/>
      <x:c r="D20" s="42"/>
      <x:c r="E20" s="42"/>
      <x:c r="F20" s="42"/>
      <x:c r="G20" s="42"/>
      <x:c r="H20" s="42"/>
      <x:c r="I20" s="42"/>
      <x:c r="J20" s="42"/>
      <x:c r="K20" s="42"/>
      <x:c r="L20" s="42"/>
      <x:c r="M20" s="42"/>
    </x:row>
    <x:row r="21">
      <x:c r="A21" s="42"/>
      <x:c r="B21" s="42"/>
      <x:c r="C21" s="42"/>
      <x:c r="D21" s="42"/>
      <x:c r="E21" s="42"/>
      <x:c r="F21" s="42"/>
      <x:c r="G21" s="42"/>
      <x:c r="H21" s="42"/>
      <x:c r="I21" s="42"/>
      <x:c r="J21" s="42"/>
      <x:c r="K21" s="42"/>
      <x:c r="L21" s="42"/>
      <x:c r="M21" s="42"/>
    </x:row>
    <x:row r="22">
      <x:c r="A22" s="42"/>
      <x:c r="B22" s="42"/>
      <x:c r="C22" s="42"/>
      <x:c r="D22" s="42"/>
      <x:c r="E22" s="42"/>
      <x:c r="F22" s="42"/>
      <x:c r="G22" s="42"/>
      <x:c r="H22" s="42"/>
      <x:c r="I22" s="42"/>
      <x:c r="J22" s="42"/>
      <x:c r="K22" s="42"/>
      <x:c r="L22" s="42"/>
      <x:c r="M22" s="42"/>
    </x:row>
    <x:row r="23">
      <x:c r="A23" s="42"/>
      <x:c r="B23" s="42"/>
      <x:c r="C23" s="42"/>
      <x:c r="D23" s="42"/>
      <x:c r="E23" s="42"/>
      <x:c r="F23" s="42"/>
      <x:c r="G23" s="42"/>
      <x:c r="H23" s="42"/>
      <x:c r="I23" s="42"/>
      <x:c r="J23" s="42"/>
      <x:c r="K23" s="42"/>
      <x:c r="L23" s="42"/>
      <x:c r="M23" s="42"/>
    </x:row>
    <x:row r="24">
      <x:c r="A24" s="42"/>
      <x:c r="B24" s="42"/>
      <x:c r="C24" s="42"/>
      <x:c r="D24" s="42"/>
      <x:c r="E24" s="42"/>
      <x:c r="F24" s="42"/>
      <x:c r="G24" s="42"/>
      <x:c r="H24" s="42"/>
      <x:c r="I24" s="42"/>
      <x:c r="J24" s="42"/>
      <x:c r="K24" s="42"/>
      <x:c r="L24" s="42"/>
      <x:c r="M24" s="42"/>
    </x:row>
    <x:row r="25">
      <x:c r="A25" s="42"/>
      <x:c r="B25" s="42"/>
      <x:c r="C25" s="42"/>
      <x:c r="D25" s="42"/>
      <x:c r="E25" s="42"/>
      <x:c r="F25" s="42"/>
      <x:c r="G25" s="42"/>
      <x:c r="H25" s="42"/>
      <x:c r="I25" s="42"/>
      <x:c r="J25" s="42"/>
      <x:c r="K25" s="42"/>
      <x:c r="L25" s="42"/>
      <x:c r="M25" s="42"/>
    </x:row>
    <x:row r="26">
      <x:c r="A26" s="42"/>
      <x:c r="B26" s="42"/>
      <x:c r="C26" s="42"/>
      <x:c r="D26" s="42"/>
      <x:c r="E26" s="42"/>
      <x:c r="F26" s="42"/>
      <x:c r="G26" s="42"/>
      <x:c r="H26" s="42"/>
      <x:c r="I26" s="42"/>
      <x:c r="J26" s="42"/>
      <x:c r="K26" s="42"/>
      <x:c r="L26" s="42"/>
      <x:c r="M26" s="42"/>
    </x:row>
    <x:row r="27">
      <x:c r="A27" s="42"/>
      <x:c r="B27" s="42"/>
      <x:c r="C27" s="42"/>
      <x:c r="D27" s="42"/>
      <x:c r="E27" s="42"/>
      <x:c r="F27" s="42"/>
      <x:c r="G27" s="42"/>
      <x:c r="H27" s="42"/>
      <x:c r="I27" s="42"/>
      <x:c r="J27" s="42"/>
      <x:c r="K27" s="42"/>
      <x:c r="L27" s="42"/>
      <x:c r="M27" s="42"/>
    </x:row>
    <x:row r="28">
      <x:c r="A28" s="42"/>
      <x:c r="B28" s="42"/>
      <x:c r="C28" s="42"/>
      <x:c r="D28" s="42"/>
      <x:c r="E28" s="42"/>
      <x:c r="F28" s="42"/>
      <x:c r="G28" s="42"/>
      <x:c r="H28" s="42"/>
      <x:c r="I28" s="42"/>
      <x:c r="J28" s="42"/>
      <x:c r="K28" s="42"/>
      <x:c r="L28" s="42"/>
      <x:c r="M28" s="42"/>
    </x:row>
    <x:row r="29">
      <x:c r="A29" s="42"/>
      <x:c r="B29" s="42"/>
      <x:c r="C29" s="42"/>
      <x:c r="D29" s="42"/>
      <x:c r="E29" s="42"/>
      <x:c r="F29" s="42"/>
      <x:c r="G29" s="42"/>
      <x:c r="H29" s="42"/>
      <x:c r="I29" s="42"/>
      <x:c r="J29" s="42"/>
      <x:c r="K29" s="42"/>
      <x:c r="L29" s="42"/>
      <x:c r="M29" s="42"/>
    </x:row>
    <x:row r="30">
      <x:c r="A30" s="42"/>
      <x:c r="B30" s="42"/>
      <x:c r="C30" s="42"/>
      <x:c r="D30" s="42"/>
      <x:c r="E30" s="42"/>
      <x:c r="F30" s="42"/>
      <x:c r="G30" s="42"/>
      <x:c r="H30" s="42"/>
      <x:c r="I30" s="42"/>
      <x:c r="J30" s="42"/>
      <x:c r="K30" s="42"/>
      <x:c r="L30" s="42"/>
      <x:c r="M30" s="42"/>
    </x:row>
    <x:row r="31">
      <x:c r="A31" s="42"/>
      <x:c r="B31" s="42"/>
      <x:c r="C31" s="42"/>
      <x:c r="D31" s="42"/>
      <x:c r="E31" s="42"/>
      <x:c r="F31" s="42"/>
      <x:c r="G31" s="42"/>
      <x:c r="H31" s="42"/>
      <x:c r="I31" s="42"/>
      <x:c r="J31" s="42"/>
      <x:c r="K31" s="42"/>
      <x:c r="L31" s="42"/>
      <x:c r="M31" s="42"/>
    </x:row>
    <x:row r="32">
      <x:c r="A32" s="42"/>
      <x:c r="B32" s="42"/>
      <x:c r="C32" s="42"/>
      <x:c r="D32" s="42"/>
      <x:c r="E32" s="42"/>
      <x:c r="F32" s="42"/>
      <x:c r="G32" s="42"/>
      <x:c r="H32" s="42"/>
      <x:c r="I32" s="42"/>
      <x:c r="J32" s="42"/>
      <x:c r="K32" s="42"/>
      <x:c r="L32" s="42"/>
      <x:c r="M32" s="42"/>
    </x:row>
    <x:row r="33">
      <x:c r="A33" s="42"/>
      <x:c r="B33" s="42"/>
      <x:c r="C33" s="42"/>
      <x:c r="D33" s="42"/>
      <x:c r="E33" s="42"/>
      <x:c r="F33" s="42"/>
      <x:c r="G33" s="42"/>
      <x:c r="H33" s="42"/>
      <x:c r="I33" s="42"/>
      <x:c r="J33" s="42"/>
      <x:c r="K33" s="42"/>
      <x:c r="L33" s="42"/>
      <x:c r="M33" s="42"/>
    </x:row>
    <x:row r="34">
      <x:c r="A34" s="42"/>
      <x:c r="B34" s="42"/>
      <x:c r="C34" s="42"/>
      <x:c r="D34" s="42"/>
      <x:c r="E34" s="42"/>
      <x:c r="F34" s="42"/>
      <x:c r="G34" s="42"/>
      <x:c r="H34" s="42"/>
      <x:c r="I34" s="42"/>
      <x:c r="J34" s="42"/>
      <x:c r="K34" s="42"/>
      <x:c r="L34" s="42"/>
      <x:c r="M34" s="42"/>
    </x:row>
    <x:row r="35">
      <x:c r="A35" s="42"/>
      <x:c r="B35" s="42"/>
      <x:c r="C35" s="42"/>
      <x:c r="D35" s="42"/>
      <x:c r="E35" s="42"/>
      <x:c r="F35" s="42"/>
      <x:c r="G35" s="42"/>
      <x:c r="H35" s="42"/>
      <x:c r="I35" s="42"/>
      <x:c r="J35" s="42"/>
      <x:c r="K35" s="42"/>
      <x:c r="L35" s="42"/>
      <x:c r="M35" s="42"/>
    </x:row>
    <x:row r="36">
      <x:c r="A36" s="42"/>
      <x:c r="B36" s="42"/>
      <x:c r="C36" s="42"/>
      <x:c r="D36" s="42"/>
      <x:c r="E36" s="42"/>
      <x:c r="F36" s="42"/>
      <x:c r="G36" s="42"/>
      <x:c r="H36" s="42"/>
      <x:c r="I36" s="42"/>
      <x:c r="J36" s="42"/>
      <x:c r="K36" s="42"/>
      <x:c r="L36" s="42"/>
      <x:c r="M36" s="42"/>
    </x:row>
    <x:row r="37">
      <x:c r="A37" s="42"/>
      <x:c r="B37" s="42"/>
      <x:c r="C37" s="42"/>
      <x:c r="D37" s="42"/>
      <x:c r="E37" s="42"/>
      <x:c r="F37" s="42"/>
      <x:c r="G37" s="42"/>
      <x:c r="H37" s="42"/>
      <x:c r="I37" s="42"/>
      <x:c r="J37" s="42"/>
      <x:c r="K37" s="42"/>
      <x:c r="L37" s="42"/>
      <x:c r="M37" s="42"/>
    </x:row>
    <x:row r="38">
      <x:c r="A38" s="42"/>
      <x:c r="B38" s="42"/>
      <x:c r="C38" s="42"/>
      <x:c r="D38" s="42"/>
      <x:c r="E38" s="42"/>
      <x:c r="F38" s="42"/>
      <x:c r="G38" s="42"/>
      <x:c r="H38" s="42"/>
      <x:c r="I38" s="42"/>
      <x:c r="J38" s="42"/>
      <x:c r="K38" s="42"/>
      <x:c r="L38" s="42"/>
      <x:c r="M38" s="42"/>
    </x:row>
    <x:row r="39">
      <x:c r="A39" s="42"/>
      <x:c r="B39" s="42"/>
      <x:c r="C39" s="42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</x:row>
    <x:row r="40">
      <x:c r="A40" s="42"/>
      <x:c r="B40" s="42"/>
      <x:c r="C40" s="42"/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</x:row>
    <x:row r="41">
      <x:c r="A41" s="42"/>
      <x:c r="B41" s="42"/>
      <x:c r="C41" s="42"/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</x:row>
    <x:row r="42">
      <x:c r="A42" s="42"/>
      <x:c r="B42" s="42"/>
      <x:c r="C42" s="42"/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</x:row>
    <x:row r="43">
      <x:c r="A43" s="42"/>
      <x:c r="B43" s="42"/>
      <x:c r="C43" s="42"/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</x:row>
    <x:row r="44">
      <x:c r="A44" s="42"/>
      <x:c r="B44" s="42"/>
      <x:c r="C44" s="42"/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</x:row>
    <x:row r="45">
      <x:c r="A45" s="42"/>
      <x:c r="B45" s="42"/>
      <x:c r="C45" s="42"/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</x:row>
    <x:row r="46">
      <x:c r="A46" s="42"/>
      <x:c r="B46" s="42"/>
      <x:c r="C46" s="42"/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</x:row>
    <x:row r="47">
      <x:c r="A47" s="42"/>
      <x:c r="B47" s="42"/>
      <x:c r="C47" s="42"/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</x:row>
    <x:row r="48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</x:row>
    <x:row r="49">
      <x:c r="A49" s="42"/>
      <x:c r="B49" s="42"/>
      <x:c r="C49" s="42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</x:row>
    <x:row r="50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</x:row>
    <x:row r="51">
      <x:c r="A51" s="42"/>
      <x:c r="B51" s="42"/>
      <x:c r="C51" s="42"/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</x:row>
    <x:row r="52">
      <x:c r="A52" s="42"/>
      <x:c r="B52" s="42"/>
      <x:c r="C52" s="42"/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</x:row>
    <x:row r="53">
      <x:c r="A53" s="42"/>
      <x:c r="B53" s="42"/>
      <x:c r="C53" s="42"/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</x:row>
    <x:row r="54">
      <x:c r="A54" s="42"/>
      <x:c r="B54" s="42"/>
      <x:c r="C54" s="42"/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</x:row>
    <x:row r="55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</x:row>
    <x:row r="56">
      <x:c r="A56" s="42"/>
      <x:c r="B56" s="42"/>
      <x:c r="C56" s="42"/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</x:row>
    <x:row r="57">
      <x:c r="A57" s="42"/>
      <x:c r="B57" s="42"/>
      <x:c r="C57" s="42"/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</x:row>
    <x:row r="58">
      <x:c r="A58" s="42"/>
      <x:c r="B58" s="42"/>
      <x:c r="C58" s="42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</x:row>
    <x:row r="59">
      <x:c r="A59" s="42"/>
      <x:c r="B59" s="42"/>
      <x:c r="C59" s="42"/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</x:row>
    <x:row r="60">
      <x:c r="A60" s="42"/>
      <x:c r="B60" s="42"/>
      <x:c r="C60" s="42"/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</x:row>
    <x:row r="61">
      <x:c r="A61" s="42"/>
      <x:c r="B61" s="42"/>
      <x:c r="C61" s="42"/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</x:row>
    <x:row r="62">
      <x:c r="A62" s="42"/>
      <x:c r="B62" s="42"/>
      <x:c r="C62" s="42"/>
      <x:c r="D62" s="42"/>
      <x:c r="E62" s="42"/>
      <x:c r="F62" s="42"/>
      <x:c r="G62" s="42"/>
      <x:c r="H62" s="42"/>
      <x:c r="I62" s="42"/>
      <x:c r="J62" s="42"/>
      <x:c r="K62" s="42"/>
      <x:c r="L62" s="42"/>
      <x:c r="M62" s="42"/>
    </x:row>
    <x:row r="63">
      <x:c r="A63" s="42"/>
      <x:c r="B63" s="42"/>
      <x:c r="C63" s="42"/>
      <x:c r="D63" s="42"/>
      <x:c r="E63" s="42"/>
      <x:c r="F63" s="42"/>
      <x:c r="G63" s="42"/>
      <x:c r="H63" s="42"/>
      <x:c r="I63" s="42"/>
      <x:c r="J63" s="42"/>
      <x:c r="K63" s="42"/>
      <x:c r="L63" s="42"/>
      <x:c r="M63" s="42"/>
    </x:row>
    <x:row r="64">
      <x:c r="A64" s="42"/>
      <x:c r="B64" s="42"/>
      <x:c r="C64" s="42"/>
      <x:c r="D64" s="42"/>
      <x:c r="E64" s="42"/>
      <x:c r="F64" s="42"/>
      <x:c r="G64" s="42"/>
      <x:c r="H64" s="42"/>
      <x:c r="I64" s="42"/>
      <x:c r="J64" s="42"/>
      <x:c r="K64" s="42"/>
      <x:c r="L64" s="42"/>
      <x:c r="M64" s="42"/>
    </x:row>
    <x:row r="65">
      <x:c r="A65" s="42"/>
      <x:c r="B65" s="42"/>
      <x:c r="C65" s="42"/>
      <x:c r="D65" s="42"/>
      <x:c r="E65" s="42"/>
      <x:c r="F65" s="42"/>
      <x:c r="G65" s="42"/>
      <x:c r="H65" s="42"/>
      <x:c r="I65" s="42"/>
      <x:c r="J65" s="42"/>
      <x:c r="K65" s="42"/>
      <x:c r="L65" s="42"/>
      <x:c r="M65" s="42"/>
    </x:row>
    <x:row r="66">
      <x:c r="A66" s="42"/>
      <x:c r="B66" s="42"/>
      <x:c r="C66" s="42"/>
      <x:c r="D66" s="42"/>
      <x:c r="E66" s="42"/>
      <x:c r="F66" s="42"/>
      <x:c r="G66" s="42"/>
      <x:c r="H66" s="42"/>
      <x:c r="I66" s="42"/>
      <x:c r="J66" s="42"/>
      <x:c r="K66" s="42"/>
      <x:c r="L66" s="42"/>
      <x:c r="M66" s="42"/>
    </x:row>
    <x:row r="67">
      <x:c r="A67" s="42"/>
      <x:c r="B67" s="42"/>
      <x:c r="C67" s="42"/>
      <x:c r="D67" s="42"/>
      <x:c r="E67" s="42"/>
      <x:c r="F67" s="42"/>
      <x:c r="G67" s="42"/>
      <x:c r="H67" s="42"/>
      <x:c r="I67" s="42"/>
      <x:c r="J67" s="42"/>
      <x:c r="K67" s="42"/>
      <x:c r="L67" s="42"/>
      <x:c r="M67" s="42"/>
    </x:row>
    <x:row r="68">
      <x:c r="A68" s="42"/>
      <x:c r="B68" s="42"/>
      <x:c r="C68" s="42"/>
      <x:c r="D68" s="42"/>
      <x:c r="E68" s="42"/>
      <x:c r="F68" s="42"/>
      <x:c r="G68" s="42"/>
      <x:c r="H68" s="42"/>
      <x:c r="I68" s="42"/>
      <x:c r="J68" s="42"/>
      <x:c r="K68" s="42"/>
      <x:c r="L68" s="42"/>
      <x:c r="M68" s="42"/>
    </x:row>
    <x:row r="69">
      <x:c r="A69" s="42"/>
      <x:c r="B69" s="42"/>
      <x:c r="C69" s="42"/>
      <x:c r="D69" s="42"/>
      <x:c r="E69" s="42"/>
      <x:c r="F69" s="42"/>
      <x:c r="G69" s="42"/>
      <x:c r="H69" s="42"/>
      <x:c r="I69" s="42"/>
      <x:c r="J69" s="42"/>
      <x:c r="K69" s="42"/>
      <x:c r="L69" s="42"/>
      <x:c r="M69" s="42"/>
    </x:row>
    <x:row r="70">
      <x:c r="A70" s="42"/>
      <x:c r="B70" s="42"/>
      <x:c r="C70" s="42"/>
      <x:c r="D70" s="42"/>
      <x:c r="E70" s="42"/>
      <x:c r="F70" s="42"/>
      <x:c r="G70" s="42"/>
      <x:c r="H70" s="42"/>
      <x:c r="I70" s="42"/>
      <x:c r="J70" s="42"/>
      <x:c r="K70" s="42"/>
      <x:c r="L70" s="42"/>
      <x:c r="M70" s="42"/>
    </x:row>
    <x:row r="71">
      <x:c r="A71" s="42"/>
      <x:c r="B71" s="42"/>
      <x:c r="C71" s="42"/>
      <x:c r="D71" s="42"/>
      <x:c r="E71" s="42"/>
      <x:c r="F71" s="42"/>
      <x:c r="G71" s="42"/>
      <x:c r="H71" s="42"/>
      <x:c r="I71" s="42"/>
      <x:c r="J71" s="42"/>
      <x:c r="K71" s="42"/>
      <x:c r="L71" s="42"/>
      <x:c r="M71" s="42"/>
    </x:row>
    <x:row r="72">
      <x:c r="A72" s="42"/>
      <x:c r="B72" s="42"/>
      <x:c r="C72" s="42"/>
      <x:c r="D72" s="42"/>
      <x:c r="E72" s="42"/>
      <x:c r="F72" s="42"/>
      <x:c r="G72" s="42"/>
      <x:c r="H72" s="42"/>
      <x:c r="I72" s="42"/>
      <x:c r="J72" s="42"/>
      <x:c r="K72" s="42"/>
      <x:c r="L72" s="42"/>
      <x:c r="M72" s="42"/>
    </x:row>
    <x:row r="73">
      <x:c r="A73" s="42"/>
      <x:c r="B73" s="42"/>
      <x:c r="C73" s="42"/>
      <x:c r="D73" s="42"/>
      <x:c r="E73" s="42"/>
      <x:c r="F73" s="42"/>
      <x:c r="G73" s="42"/>
      <x:c r="H73" s="42"/>
      <x:c r="I73" s="42"/>
      <x:c r="J73" s="42"/>
      <x:c r="K73" s="42"/>
      <x:c r="L73" s="42"/>
      <x:c r="M73" s="42"/>
    </x:row>
    <x:row r="74">
      <x:c r="A74" s="42"/>
      <x:c r="B74" s="42"/>
      <x:c r="C74" s="42"/>
      <x:c r="D74" s="42"/>
      <x:c r="E74" s="42"/>
      <x:c r="F74" s="42"/>
      <x:c r="G74" s="42"/>
      <x:c r="H74" s="42"/>
      <x:c r="I74" s="42"/>
      <x:c r="J74" s="42"/>
      <x:c r="K74" s="42"/>
      <x:c r="L74" s="42"/>
      <x:c r="M74" s="42"/>
    </x:row>
    <x:row r="75">
      <x:c r="A75" s="42"/>
      <x:c r="B75" s="42"/>
      <x:c r="C75" s="42"/>
      <x:c r="D75" s="42"/>
      <x:c r="E75" s="42"/>
      <x:c r="F75" s="42"/>
      <x:c r="G75" s="42"/>
      <x:c r="H75" s="42"/>
      <x:c r="I75" s="42"/>
      <x:c r="J75" s="42"/>
      <x:c r="K75" s="42"/>
      <x:c r="L75" s="42"/>
      <x:c r="M75" s="42"/>
    </x:row>
    <x:row r="76">
      <x:c r="A76" s="42"/>
      <x:c r="B76" s="42"/>
      <x:c r="C76" s="42"/>
      <x:c r="D76" s="42"/>
      <x:c r="E76" s="42"/>
      <x:c r="F76" s="42"/>
      <x:c r="G76" s="42"/>
      <x:c r="H76" s="42"/>
      <x:c r="I76" s="42"/>
      <x:c r="J76" s="42"/>
      <x:c r="K76" s="42"/>
      <x:c r="L76" s="42"/>
      <x:c r="M76" s="42"/>
    </x:row>
    <x:row r="77">
      <x:c r="A77" s="42"/>
      <x:c r="B77" s="42"/>
      <x:c r="C77" s="42"/>
      <x:c r="D77" s="42"/>
      <x:c r="E77" s="42"/>
      <x:c r="F77" s="42"/>
      <x:c r="G77" s="42"/>
      <x:c r="H77" s="42"/>
      <x:c r="I77" s="42"/>
      <x:c r="J77" s="42"/>
      <x:c r="K77" s="42"/>
      <x:c r="L77" s="42"/>
      <x:c r="M77" s="42"/>
    </x:row>
    <x:row r="78">
      <x:c r="A78" s="42"/>
      <x:c r="B78" s="42"/>
      <x:c r="C78" s="42"/>
      <x:c r="D78" s="42"/>
      <x:c r="E78" s="42"/>
      <x:c r="F78" s="42"/>
      <x:c r="G78" s="42"/>
      <x:c r="H78" s="42"/>
      <x:c r="I78" s="42"/>
      <x:c r="J78" s="42"/>
      <x:c r="K78" s="42"/>
      <x:c r="L78" s="42"/>
      <x:c r="M78" s="42"/>
    </x:row>
    <x:row r="79">
      <x:c r="A79" s="42"/>
      <x:c r="B79" s="42"/>
      <x:c r="C79" s="42"/>
      <x:c r="D79" s="42"/>
      <x:c r="E79" s="42"/>
      <x:c r="F79" s="42"/>
      <x:c r="G79" s="42"/>
      <x:c r="H79" s="42"/>
      <x:c r="I79" s="42"/>
      <x:c r="J79" s="42"/>
      <x:c r="K79" s="42"/>
      <x:c r="L79" s="42"/>
      <x:c r="M79" s="42"/>
    </x:row>
    <x:row r="80">
      <x:c r="A80" s="42"/>
      <x:c r="B80" s="42"/>
      <x:c r="C80" s="42"/>
      <x:c r="D80" s="42"/>
      <x:c r="E80" s="42"/>
      <x:c r="F80" s="42"/>
      <x:c r="G80" s="42"/>
      <x:c r="H80" s="42"/>
      <x:c r="I80" s="42"/>
      <x:c r="J80" s="42"/>
      <x:c r="K80" s="42"/>
      <x:c r="L80" s="42"/>
      <x:c r="M80" s="42"/>
    </x:row>
    <x:row r="81">
      <x:c r="A81" s="42"/>
      <x:c r="B81" s="42"/>
      <x:c r="C81" s="42"/>
      <x:c r="D81" s="42"/>
      <x:c r="E81" s="42"/>
      <x:c r="F81" s="42"/>
      <x:c r="G81" s="42"/>
      <x:c r="H81" s="42"/>
      <x:c r="I81" s="42"/>
      <x:c r="J81" s="42"/>
      <x:c r="K81" s="42"/>
      <x:c r="L81" s="42"/>
      <x:c r="M81" s="42"/>
    </x:row>
    <x:row r="82">
      <x:c r="A82" s="42"/>
      <x:c r="B82" s="42"/>
      <x:c r="C82" s="42"/>
      <x:c r="D82" s="42"/>
      <x:c r="E82" s="42"/>
      <x:c r="F82" s="42"/>
      <x:c r="G82" s="42"/>
      <x:c r="H82" s="42"/>
      <x:c r="I82" s="42"/>
      <x:c r="J82" s="42"/>
      <x:c r="K82" s="42"/>
      <x:c r="L82" s="42"/>
      <x:c r="M82" s="42"/>
    </x:row>
    <x:row r="83">
      <x:c r="A83" s="42"/>
      <x:c r="B83" s="42"/>
      <x:c r="C83" s="42"/>
      <x:c r="D83" s="42"/>
      <x:c r="E83" s="42"/>
      <x:c r="F83" s="42"/>
      <x:c r="G83" s="42"/>
      <x:c r="H83" s="42"/>
      <x:c r="I83" s="42"/>
      <x:c r="J83" s="42"/>
      <x:c r="K83" s="42"/>
      <x:c r="L83" s="42"/>
      <x:c r="M83" s="42"/>
    </x:row>
    <x:row r="84">
      <x:c r="A84" s="42"/>
      <x:c r="B84" s="42"/>
      <x:c r="C84" s="42"/>
      <x:c r="D84" s="42"/>
      <x:c r="E84" s="42"/>
      <x:c r="F84" s="42"/>
      <x:c r="G84" s="42"/>
      <x:c r="H84" s="42"/>
      <x:c r="I84" s="42"/>
      <x:c r="J84" s="42"/>
      <x:c r="K84" s="42"/>
      <x:c r="L84" s="42"/>
      <x:c r="M84" s="42"/>
    </x:row>
    <x:row r="85">
      <x:c r="A85" s="42"/>
      <x:c r="B85" s="42"/>
      <x:c r="C85" s="42"/>
      <x:c r="D85" s="42"/>
      <x:c r="E85" s="42"/>
      <x:c r="F85" s="42"/>
      <x:c r="G85" s="42"/>
      <x:c r="H85" s="42"/>
      <x:c r="I85" s="42"/>
      <x:c r="J85" s="42"/>
      <x:c r="K85" s="42"/>
      <x:c r="L85" s="42"/>
      <x:c r="M85" s="42"/>
    </x:row>
    <x:row r="86">
      <x:c r="A86" s="42"/>
      <x:c r="B86" s="42"/>
      <x:c r="C86" s="42"/>
      <x:c r="D86" s="42"/>
      <x:c r="E86" s="42"/>
      <x:c r="F86" s="42"/>
      <x:c r="G86" s="42"/>
      <x:c r="H86" s="42"/>
      <x:c r="I86" s="42"/>
      <x:c r="J86" s="42"/>
      <x:c r="K86" s="42"/>
      <x:c r="L86" s="42"/>
      <x:c r="M86" s="42"/>
    </x:row>
    <x:row r="87">
      <x:c r="A87" s="42"/>
      <x:c r="B87" s="42"/>
      <x:c r="C87" s="42"/>
      <x:c r="D87" s="42"/>
      <x:c r="E87" s="42"/>
      <x:c r="F87" s="42"/>
      <x:c r="G87" s="42"/>
      <x:c r="H87" s="42"/>
      <x:c r="I87" s="42"/>
      <x:c r="J87" s="42"/>
      <x:c r="K87" s="42"/>
      <x:c r="L87" s="42"/>
      <x:c r="M87" s="42"/>
    </x:row>
    <x:row r="88">
      <x:c r="A88" s="42"/>
      <x:c r="B88" s="42"/>
      <x:c r="C88" s="42"/>
      <x:c r="D88" s="42"/>
      <x:c r="E88" s="42"/>
      <x:c r="F88" s="42"/>
      <x:c r="G88" s="42"/>
      <x:c r="H88" s="42"/>
      <x:c r="I88" s="42"/>
      <x:c r="J88" s="42"/>
      <x:c r="K88" s="42"/>
      <x:c r="L88" s="42"/>
      <x:c r="M88" s="42"/>
    </x:row>
    <x:row r="89">
      <x:c r="A89" s="42"/>
      <x:c r="B89" s="42"/>
      <x:c r="C89" s="42"/>
      <x:c r="D89" s="42"/>
      <x:c r="E89" s="42"/>
      <x:c r="F89" s="42"/>
      <x:c r="G89" s="42"/>
      <x:c r="H89" s="42"/>
      <x:c r="I89" s="42"/>
      <x:c r="J89" s="42"/>
      <x:c r="K89" s="42"/>
      <x:c r="L89" s="42"/>
      <x:c r="M89" s="42"/>
    </x:row>
    <x:row r="90">
      <x:c r="A90" s="42"/>
      <x:c r="B90" s="42"/>
      <x:c r="C90" s="42"/>
      <x:c r="D90" s="42"/>
      <x:c r="E90" s="42"/>
      <x:c r="F90" s="42"/>
      <x:c r="G90" s="42"/>
      <x:c r="H90" s="42"/>
      <x:c r="I90" s="42"/>
      <x:c r="J90" s="42"/>
      <x:c r="K90" s="42"/>
      <x:c r="L90" s="42"/>
      <x:c r="M90" s="42"/>
    </x:row>
    <x:row r="91">
      <x:c r="A91" s="42"/>
      <x:c r="B91" s="42"/>
      <x:c r="C91" s="42"/>
      <x:c r="D91" s="42"/>
      <x:c r="E91" s="42"/>
      <x:c r="F91" s="42"/>
      <x:c r="G91" s="42"/>
      <x:c r="H91" s="42"/>
      <x:c r="I91" s="42"/>
      <x:c r="J91" s="42"/>
      <x:c r="K91" s="42"/>
      <x:c r="L91" s="42"/>
      <x:c r="M91" s="42"/>
    </x:row>
    <x:row r="92">
      <x:c r="A92" s="42"/>
      <x:c r="B92" s="42"/>
      <x:c r="C92" s="42"/>
      <x:c r="D92" s="42"/>
      <x:c r="E92" s="42"/>
      <x:c r="F92" s="42"/>
      <x:c r="G92" s="42"/>
      <x:c r="H92" s="42"/>
      <x:c r="I92" s="42"/>
      <x:c r="J92" s="42"/>
      <x:c r="K92" s="42"/>
      <x:c r="L92" s="42"/>
      <x:c r="M92" s="42"/>
    </x:row>
    <x:row r="93">
      <x:c r="A93" s="42"/>
      <x:c r="B93" s="42"/>
      <x:c r="C93" s="42"/>
      <x:c r="D93" s="42"/>
      <x:c r="E93" s="42"/>
      <x:c r="F93" s="42"/>
      <x:c r="G93" s="42"/>
      <x:c r="H93" s="42"/>
      <x:c r="I93" s="42"/>
      <x:c r="J93" s="42"/>
      <x:c r="K93" s="42"/>
      <x:c r="L93" s="42"/>
      <x:c r="M93" s="42"/>
    </x:row>
    <x:row r="94">
      <x:c r="A94" s="42"/>
      <x:c r="B94" s="42"/>
      <x:c r="C94" s="42"/>
      <x:c r="D94" s="42"/>
      <x:c r="E94" s="42"/>
      <x:c r="F94" s="42"/>
      <x:c r="G94" s="42"/>
      <x:c r="H94" s="42"/>
      <x:c r="I94" s="42"/>
      <x:c r="J94" s="42"/>
      <x:c r="K94" s="42"/>
      <x:c r="L94" s="42"/>
      <x:c r="M94" s="42"/>
    </x:row>
    <x:row r="95">
      <x:c r="A95" s="42"/>
      <x:c r="B95" s="42"/>
      <x:c r="C95" s="42"/>
      <x:c r="D95" s="42"/>
      <x:c r="E95" s="42"/>
      <x:c r="F95" s="42"/>
      <x:c r="G95" s="42"/>
      <x:c r="H95" s="42"/>
      <x:c r="I95" s="42"/>
      <x:c r="J95" s="42"/>
      <x:c r="K95" s="42"/>
      <x:c r="L95" s="42"/>
      <x:c r="M95" s="42"/>
    </x:row>
    <x:row r="96">
      <x:c r="A96" s="42"/>
      <x:c r="B96" s="42"/>
      <x:c r="C96" s="42"/>
      <x:c r="D96" s="42"/>
      <x:c r="E96" s="42"/>
      <x:c r="F96" s="42"/>
      <x:c r="G96" s="42"/>
      <x:c r="H96" s="42"/>
      <x:c r="I96" s="42"/>
      <x:c r="J96" s="42"/>
      <x:c r="K96" s="42"/>
      <x:c r="L96" s="42"/>
      <x:c r="M96" s="42"/>
    </x:row>
    <x:row r="97">
      <x:c r="A97" s="42"/>
      <x:c r="B97" s="42"/>
      <x:c r="C97" s="42"/>
      <x:c r="D97" s="42"/>
      <x:c r="E97" s="42"/>
      <x:c r="F97" s="42"/>
      <x:c r="G97" s="42"/>
      <x:c r="H97" s="42"/>
      <x:c r="I97" s="42"/>
      <x:c r="J97" s="42"/>
      <x:c r="K97" s="42"/>
      <x:c r="L97" s="42"/>
      <x:c r="M97" s="42"/>
    </x:row>
    <x:row r="98">
      <x:c r="A98" s="42"/>
      <x:c r="B98" s="42"/>
      <x:c r="C98" s="42"/>
      <x:c r="D98" s="42"/>
      <x:c r="E98" s="42"/>
      <x:c r="F98" s="42"/>
      <x:c r="G98" s="42"/>
      <x:c r="H98" s="42"/>
      <x:c r="I98" s="42"/>
      <x:c r="J98" s="42"/>
      <x:c r="K98" s="42"/>
      <x:c r="L98" s="42"/>
      <x:c r="M98" s="42"/>
    </x:row>
    <x:row r="99">
      <x:c r="A99" s="42"/>
      <x:c r="B99" s="42"/>
      <x:c r="C99" s="42"/>
      <x:c r="D99" s="42"/>
      <x:c r="E99" s="42"/>
      <x:c r="F99" s="42"/>
      <x:c r="G99" s="42"/>
      <x:c r="H99" s="42"/>
      <x:c r="I99" s="42"/>
      <x:c r="J99" s="42"/>
      <x:c r="K99" s="42"/>
      <x:c r="L99" s="42"/>
      <x:c r="M99" s="42"/>
    </x:row>
    <x:row r="100">
      <x:c r="A100" s="42"/>
      <x:c r="B100" s="42"/>
      <x:c r="C100" s="42"/>
      <x:c r="D100" s="42"/>
      <x:c r="E100" s="42"/>
      <x:c r="F100" s="42"/>
      <x:c r="G100" s="42"/>
      <x:c r="H100" s="42"/>
      <x:c r="I100" s="42"/>
      <x:c r="J100" s="42"/>
      <x:c r="K100" s="42"/>
      <x:c r="L100" s="42"/>
      <x:c r="M100" s="42"/>
    </x:row>
    <x:row r="101">
      <x:c r="A101" s="42"/>
      <x:c r="B101" s="42"/>
      <x:c r="C101" s="42"/>
      <x:c r="D101" s="42"/>
      <x:c r="E101" s="42"/>
      <x:c r="F101" s="42"/>
      <x:c r="G101" s="42"/>
      <x:c r="H101" s="42"/>
      <x:c r="I101" s="42"/>
      <x:c r="J101" s="42"/>
      <x:c r="K101" s="42"/>
      <x:c r="L101" s="42"/>
      <x:c r="M101" s="42"/>
    </x:row>
    <x:row r="102">
      <x:c r="A102" s="42"/>
      <x:c r="B102" s="42"/>
      <x:c r="C102" s="42"/>
      <x:c r="D102" s="42"/>
      <x:c r="E102" s="42"/>
      <x:c r="F102" s="42"/>
      <x:c r="G102" s="42"/>
      <x:c r="H102" s="42"/>
      <x:c r="I102" s="42"/>
      <x:c r="J102" s="42"/>
      <x:c r="K102" s="42"/>
      <x:c r="L102" s="42"/>
      <x:c r="M102" s="42"/>
    </x:row>
    <x:row r="103">
      <x:c r="A103" s="42"/>
      <x:c r="B103" s="42"/>
      <x:c r="C103" s="42"/>
      <x:c r="D103" s="42"/>
      <x:c r="E103" s="42"/>
      <x:c r="F103" s="42"/>
      <x:c r="G103" s="42"/>
      <x:c r="H103" s="42"/>
      <x:c r="I103" s="42"/>
      <x:c r="J103" s="42"/>
      <x:c r="K103" s="42"/>
      <x:c r="L103" s="42"/>
      <x:c r="M103" s="42"/>
    </x:row>
    <x:row r="104">
      <x:c r="A104" s="42"/>
      <x:c r="B104" s="42"/>
      <x:c r="C104" s="42"/>
      <x:c r="D104" s="42"/>
      <x:c r="E104" s="42"/>
      <x:c r="F104" s="42"/>
      <x:c r="G104" s="42"/>
      <x:c r="H104" s="42"/>
      <x:c r="I104" s="42"/>
      <x:c r="J104" s="42"/>
      <x:c r="K104" s="42"/>
      <x:c r="L104" s="42"/>
      <x:c r="M104" s="42"/>
    </x:row>
    <x:row r="105">
      <x:c r="A105" s="42"/>
      <x:c r="B105" s="42"/>
      <x:c r="C105" s="42"/>
      <x:c r="D105" s="42"/>
      <x:c r="E105" s="42"/>
      <x:c r="F105" s="42"/>
      <x:c r="G105" s="42"/>
      <x:c r="H105" s="42"/>
      <x:c r="I105" s="42"/>
      <x:c r="J105" s="42"/>
      <x:c r="K105" s="42"/>
      <x:c r="L105" s="42"/>
      <x:c r="M105" s="42"/>
    </x:row>
    <x:row r="106">
      <x:c r="A106" s="42"/>
      <x:c r="B106" s="42"/>
      <x:c r="C106" s="42"/>
      <x:c r="D106" s="42"/>
      <x:c r="E106" s="42"/>
      <x:c r="F106" s="42"/>
      <x:c r="G106" s="42"/>
      <x:c r="H106" s="42"/>
      <x:c r="I106" s="42"/>
      <x:c r="J106" s="42"/>
      <x:c r="K106" s="42"/>
      <x:c r="L106" s="42"/>
      <x:c r="M106" s="42"/>
    </x:row>
    <x:row r="107">
      <x:c r="A107" s="42"/>
      <x:c r="B107" s="42"/>
      <x:c r="C107" s="42"/>
      <x:c r="D107" s="42"/>
      <x:c r="E107" s="42"/>
      <x:c r="F107" s="42"/>
      <x:c r="G107" s="42"/>
      <x:c r="H107" s="42"/>
      <x:c r="I107" s="42"/>
      <x:c r="J107" s="42"/>
      <x:c r="K107" s="42"/>
      <x:c r="L107" s="42"/>
      <x:c r="M107" s="42"/>
    </x:row>
    <x:row r="108">
      <x:c r="A108" s="42"/>
      <x:c r="B108" s="42"/>
      <x:c r="C108" s="42"/>
      <x:c r="D108" s="42"/>
      <x:c r="E108" s="42"/>
      <x:c r="F108" s="42"/>
      <x:c r="G108" s="42"/>
      <x:c r="H108" s="42"/>
      <x:c r="I108" s="42"/>
      <x:c r="J108" s="42"/>
      <x:c r="K108" s="42"/>
      <x:c r="L108" s="42"/>
      <x:c r="M108" s="42"/>
    </x:row>
    <x:row r="109">
      <x:c r="A109" s="42"/>
      <x:c r="B109" s="42"/>
      <x:c r="C109" s="42"/>
      <x:c r="D109" s="42"/>
      <x:c r="E109" s="42"/>
      <x:c r="F109" s="42"/>
      <x:c r="G109" s="42"/>
      <x:c r="H109" s="42"/>
      <x:c r="I109" s="42"/>
      <x:c r="J109" s="42"/>
      <x:c r="K109" s="42"/>
      <x:c r="L109" s="42"/>
      <x:c r="M109" s="42"/>
    </x:row>
    <x:row r="110">
      <x:c r="A110" s="42"/>
      <x:c r="B110" s="42"/>
      <x:c r="C110" s="42"/>
      <x:c r="D110" s="42"/>
      <x:c r="E110" s="42"/>
      <x:c r="F110" s="42"/>
      <x:c r="G110" s="42"/>
      <x:c r="H110" s="42"/>
      <x:c r="I110" s="42"/>
      <x:c r="J110" s="42"/>
      <x:c r="K110" s="42"/>
      <x:c r="L110" s="42"/>
      <x:c r="M110" s="42"/>
    </x:row>
    <x:row r="111">
      <x:c r="A111" s="42"/>
      <x:c r="B111" s="42"/>
      <x:c r="C111" s="42"/>
      <x:c r="D111" s="42"/>
      <x:c r="E111" s="42"/>
      <x:c r="F111" s="42"/>
      <x:c r="G111" s="42"/>
      <x:c r="H111" s="42"/>
      <x:c r="I111" s="42"/>
      <x:c r="J111" s="42"/>
      <x:c r="K111" s="42"/>
      <x:c r="L111" s="42"/>
      <x:c r="M111" s="42"/>
    </x:row>
    <x:row r="112">
      <x:c r="A112" s="42"/>
      <x:c r="B112" s="42"/>
      <x:c r="C112" s="42"/>
      <x:c r="D112" s="42"/>
      <x:c r="E112" s="42"/>
      <x:c r="F112" s="42"/>
      <x:c r="G112" s="42"/>
      <x:c r="H112" s="42"/>
      <x:c r="I112" s="42"/>
      <x:c r="J112" s="42"/>
      <x:c r="K112" s="42"/>
      <x:c r="L112" s="42"/>
      <x:c r="M112" s="42"/>
    </x:row>
    <x:row r="113">
      <x:c r="A113" s="42"/>
      <x:c r="B113" s="42"/>
      <x:c r="C113" s="42"/>
      <x:c r="D113" s="42"/>
      <x:c r="E113" s="42"/>
      <x:c r="F113" s="42"/>
      <x:c r="G113" s="42"/>
      <x:c r="H113" s="42"/>
      <x:c r="I113" s="42"/>
      <x:c r="J113" s="42"/>
      <x:c r="K113" s="42"/>
      <x:c r="L113" s="42"/>
      <x:c r="M113" s="42"/>
    </x:row>
    <x:row r="114">
      <x:c r="A114" s="42"/>
      <x:c r="B114" s="42"/>
      <x:c r="C114" s="42"/>
      <x:c r="D114" s="42"/>
      <x:c r="E114" s="42"/>
      <x:c r="F114" s="42"/>
      <x:c r="G114" s="42"/>
      <x:c r="H114" s="42"/>
      <x:c r="I114" s="42"/>
      <x:c r="J114" s="42"/>
      <x:c r="K114" s="42"/>
      <x:c r="L114" s="42"/>
      <x:c r="M114" s="42"/>
    </x:row>
    <x:row r="115">
      <x:c r="A115" s="42"/>
      <x:c r="B115" s="42"/>
      <x:c r="C115" s="42"/>
      <x:c r="D115" s="42"/>
      <x:c r="E115" s="42"/>
      <x:c r="F115" s="42"/>
      <x:c r="G115" s="42"/>
      <x:c r="H115" s="42"/>
      <x:c r="I115" s="42"/>
      <x:c r="J115" s="42"/>
      <x:c r="K115" s="42"/>
      <x:c r="L115" s="42"/>
      <x:c r="M115" s="42"/>
    </x:row>
    <x:row r="116">
      <x:c r="A116" s="42"/>
      <x:c r="B116" s="42"/>
      <x:c r="C116" s="42"/>
      <x:c r="D116" s="42"/>
      <x:c r="E116" s="42"/>
      <x:c r="F116" s="42"/>
      <x:c r="G116" s="42"/>
      <x:c r="H116" s="42"/>
      <x:c r="I116" s="42"/>
      <x:c r="J116" s="42"/>
      <x:c r="K116" s="42"/>
      <x:c r="L116" s="42"/>
      <x:c r="M116" s="42"/>
    </x:row>
    <x:row r="117">
      <x:c r="A117" s="42"/>
      <x:c r="B117" s="42"/>
      <x:c r="C117" s="42"/>
      <x:c r="D117" s="42"/>
      <x:c r="E117" s="42"/>
      <x:c r="F117" s="42"/>
      <x:c r="G117" s="42"/>
      <x:c r="H117" s="42"/>
      <x:c r="I117" s="42"/>
      <x:c r="J117" s="42"/>
      <x:c r="K117" s="42"/>
      <x:c r="L117" s="42"/>
      <x:c r="M117" s="42"/>
    </x:row>
    <x:row r="118">
      <x:c r="A118" s="42"/>
      <x:c r="B118" s="42"/>
      <x:c r="C118" s="42"/>
      <x:c r="D118" s="42"/>
      <x:c r="E118" s="42"/>
      <x:c r="F118" s="42"/>
      <x:c r="G118" s="42"/>
      <x:c r="H118" s="42"/>
      <x:c r="I118" s="42"/>
      <x:c r="J118" s="42"/>
      <x:c r="K118" s="42"/>
      <x:c r="L118" s="42"/>
      <x:c r="M118" s="42"/>
    </x:row>
    <x:row r="119">
      <x:c r="A119" s="42"/>
      <x:c r="B119" s="42"/>
      <x:c r="C119" s="42"/>
      <x:c r="D119" s="42"/>
      <x:c r="E119" s="42"/>
      <x:c r="F119" s="42"/>
      <x:c r="G119" s="42"/>
      <x:c r="H119" s="42"/>
      <x:c r="I119" s="42"/>
      <x:c r="J119" s="42"/>
      <x:c r="K119" s="42"/>
      <x:c r="L119" s="42"/>
      <x:c r="M119" s="42"/>
    </x:row>
    <x:row r="120">
      <x:c r="A120" s="42"/>
      <x:c r="B120" s="42"/>
      <x:c r="C120" s="42"/>
      <x:c r="D120" s="42"/>
      <x:c r="E120" s="42"/>
      <x:c r="F120" s="42"/>
      <x:c r="G120" s="42"/>
      <x:c r="H120" s="42"/>
      <x:c r="I120" s="42"/>
      <x:c r="J120" s="42"/>
      <x:c r="K120" s="42"/>
      <x:c r="L120" s="42"/>
      <x:c r="M120" s="42"/>
    </x:row>
    <x:row r="121">
      <x:c r="A121" s="42"/>
      <x:c r="B121" s="42"/>
      <x:c r="C121" s="42"/>
      <x:c r="D121" s="42"/>
      <x:c r="E121" s="42"/>
      <x:c r="F121" s="42"/>
      <x:c r="G121" s="42"/>
      <x:c r="H121" s="42"/>
      <x:c r="I121" s="42"/>
      <x:c r="J121" s="42"/>
      <x:c r="K121" s="42"/>
      <x:c r="L121" s="42"/>
      <x:c r="M121" s="42"/>
    </x:row>
    <x:row r="122">
      <x:c r="A122" s="42"/>
      <x:c r="B122" s="42"/>
      <x:c r="C122" s="42"/>
      <x:c r="D122" s="42"/>
      <x:c r="E122" s="42"/>
      <x:c r="F122" s="42"/>
      <x:c r="G122" s="42"/>
      <x:c r="H122" s="42"/>
      <x:c r="I122" s="42"/>
      <x:c r="J122" s="42"/>
      <x:c r="K122" s="42"/>
      <x:c r="L122" s="42"/>
      <x:c r="M122" s="42"/>
    </x:row>
    <x:row r="123">
      <x:c r="A123" s="42"/>
      <x:c r="B123" s="42"/>
      <x:c r="C123" s="42"/>
      <x:c r="D123" s="42"/>
      <x:c r="E123" s="42"/>
      <x:c r="F123" s="42"/>
      <x:c r="G123" s="42"/>
      <x:c r="H123" s="42"/>
      <x:c r="I123" s="42"/>
      <x:c r="J123" s="42"/>
      <x:c r="K123" s="42"/>
      <x:c r="L123" s="42"/>
      <x:c r="M123" s="42"/>
    </x:row>
    <x:row r="124">
      <x:c r="A124" s="42"/>
      <x:c r="B124" s="42"/>
      <x:c r="C124" s="42"/>
      <x:c r="D124" s="42"/>
      <x:c r="E124" s="42"/>
      <x:c r="F124" s="42"/>
      <x:c r="G124" s="42"/>
      <x:c r="H124" s="42"/>
      <x:c r="I124" s="42"/>
      <x:c r="J124" s="42"/>
      <x:c r="K124" s="42"/>
      <x:c r="L124" s="42"/>
      <x:c r="M124" s="42"/>
    </x:row>
    <x:row r="125">
      <x:c r="A125" s="42"/>
      <x:c r="B125" s="42"/>
      <x:c r="C125" s="42"/>
      <x:c r="D125" s="42"/>
      <x:c r="E125" s="42"/>
      <x:c r="F125" s="42"/>
      <x:c r="G125" s="42"/>
      <x:c r="H125" s="42"/>
      <x:c r="I125" s="42"/>
      <x:c r="J125" s="42"/>
      <x:c r="K125" s="42"/>
      <x:c r="L125" s="42"/>
      <x:c r="M125" s="42"/>
    </x:row>
    <x:row r="126">
      <x:c r="A126" s="42"/>
      <x:c r="B126" s="42"/>
      <x:c r="C126" s="42"/>
      <x:c r="D126" s="42"/>
      <x:c r="E126" s="42"/>
      <x:c r="F126" s="42"/>
      <x:c r="G126" s="42"/>
      <x:c r="H126" s="42"/>
      <x:c r="I126" s="42"/>
      <x:c r="J126" s="42"/>
      <x:c r="K126" s="42"/>
      <x:c r="L126" s="42"/>
      <x:c r="M126" s="42"/>
    </x:row>
    <x:row r="127">
      <x:c r="A127" s="42"/>
      <x:c r="B127" s="42"/>
      <x:c r="C127" s="42"/>
      <x:c r="D127" s="42"/>
      <x:c r="E127" s="42"/>
      <x:c r="F127" s="42"/>
      <x:c r="G127" s="42"/>
      <x:c r="H127" s="42"/>
      <x:c r="I127" s="42"/>
      <x:c r="J127" s="42"/>
      <x:c r="K127" s="42"/>
      <x:c r="L127" s="42"/>
      <x:c r="M127" s="42"/>
    </x:row>
    <x:row r="128">
      <x:c r="A128" s="42"/>
      <x:c r="B128" s="42"/>
      <x:c r="C128" s="42"/>
      <x:c r="D128" s="42"/>
      <x:c r="E128" s="42"/>
      <x:c r="F128" s="42"/>
      <x:c r="G128" s="42"/>
      <x:c r="H128" s="42"/>
      <x:c r="I128" s="42"/>
      <x:c r="J128" s="42"/>
      <x:c r="K128" s="42"/>
      <x:c r="L128" s="42"/>
      <x:c r="M128" s="42"/>
    </x:row>
    <x:row r="129">
      <x:c r="A129" s="42"/>
      <x:c r="B129" s="42"/>
      <x:c r="C129" s="42"/>
      <x:c r="D129" s="42"/>
      <x:c r="E129" s="42"/>
      <x:c r="F129" s="42"/>
      <x:c r="G129" s="42"/>
      <x:c r="H129" s="42"/>
      <x:c r="I129" s="42"/>
      <x:c r="J129" s="42"/>
      <x:c r="K129" s="42"/>
      <x:c r="L129" s="42"/>
      <x:c r="M129" s="42"/>
    </x:row>
    <x:row r="130">
      <x:c r="A130" s="42"/>
      <x:c r="B130" s="42"/>
      <x:c r="C130" s="42"/>
      <x:c r="D130" s="42"/>
      <x:c r="E130" s="42"/>
      <x:c r="F130" s="42"/>
      <x:c r="G130" s="42"/>
      <x:c r="H130" s="42"/>
      <x:c r="I130" s="42"/>
      <x:c r="J130" s="42"/>
      <x:c r="K130" s="42"/>
      <x:c r="L130" s="42"/>
      <x:c r="M130" s="42"/>
    </x:row>
    <x:row r="131">
      <x:c r="A131" s="42"/>
      <x:c r="B131" s="42"/>
      <x:c r="C131" s="42"/>
      <x:c r="D131" s="42"/>
      <x:c r="E131" s="42"/>
      <x:c r="F131" s="42"/>
      <x:c r="G131" s="42"/>
      <x:c r="H131" s="42"/>
      <x:c r="I131" s="42"/>
      <x:c r="J131" s="42"/>
      <x:c r="K131" s="42"/>
      <x:c r="L131" s="42"/>
      <x:c r="M131" s="42"/>
    </x:row>
    <x:row r="132">
      <x:c r="A132" s="42"/>
      <x:c r="B132" s="42"/>
      <x:c r="C132" s="42"/>
      <x:c r="D132" s="42"/>
      <x:c r="E132" s="42"/>
      <x:c r="F132" s="42"/>
      <x:c r="G132" s="42"/>
      <x:c r="H132" s="42"/>
      <x:c r="I132" s="42"/>
      <x:c r="J132" s="42"/>
      <x:c r="K132" s="42"/>
      <x:c r="L132" s="42"/>
      <x:c r="M132" s="42"/>
    </x:row>
    <x:row r="133">
      <x:c r="A133" s="42"/>
      <x:c r="B133" s="42"/>
      <x:c r="C133" s="42"/>
      <x:c r="D133" s="42"/>
      <x:c r="E133" s="42"/>
      <x:c r="F133" s="42"/>
      <x:c r="G133" s="42"/>
      <x:c r="H133" s="42"/>
      <x:c r="I133" s="42"/>
      <x:c r="J133" s="42"/>
      <x:c r="K133" s="42"/>
      <x:c r="L133" s="42"/>
      <x:c r="M133" s="42"/>
    </x:row>
    <x:row r="134">
      <x:c r="A134" s="42"/>
      <x:c r="B134" s="42"/>
      <x:c r="C134" s="42"/>
      <x:c r="D134" s="42"/>
      <x:c r="E134" s="42"/>
      <x:c r="F134" s="42"/>
      <x:c r="G134" s="42"/>
      <x:c r="H134" s="42"/>
      <x:c r="I134" s="42"/>
      <x:c r="J134" s="42"/>
      <x:c r="K134" s="42"/>
      <x:c r="L134" s="42"/>
      <x:c r="M134" s="42"/>
    </x:row>
    <x:row r="135">
      <x:c r="A135" s="42"/>
      <x:c r="B135" s="42"/>
      <x:c r="C135" s="42"/>
      <x:c r="D135" s="42"/>
      <x:c r="E135" s="42"/>
      <x:c r="F135" s="42"/>
      <x:c r="G135" s="42"/>
      <x:c r="H135" s="42"/>
      <x:c r="I135" s="42"/>
      <x:c r="J135" s="42"/>
      <x:c r="K135" s="42"/>
      <x:c r="L135" s="42"/>
      <x:c r="M135" s="42"/>
    </x:row>
    <x:row r="136">
      <x:c r="A136" s="42"/>
      <x:c r="B136" s="42"/>
      <x:c r="C136" s="42"/>
      <x:c r="D136" s="42"/>
      <x:c r="E136" s="42"/>
      <x:c r="F136" s="42"/>
      <x:c r="G136" s="42"/>
      <x:c r="H136" s="42"/>
      <x:c r="I136" s="42"/>
      <x:c r="J136" s="42"/>
      <x:c r="K136" s="42"/>
      <x:c r="L136" s="42"/>
      <x:c r="M136" s="42"/>
    </x:row>
    <x:row r="137">
      <x:c r="A137" s="42"/>
      <x:c r="B137" s="42"/>
      <x:c r="C137" s="42"/>
      <x:c r="D137" s="42"/>
      <x:c r="E137" s="42"/>
      <x:c r="F137" s="42"/>
      <x:c r="G137" s="42"/>
      <x:c r="H137" s="42"/>
      <x:c r="I137" s="42"/>
      <x:c r="J137" s="42"/>
      <x:c r="K137" s="42"/>
      <x:c r="L137" s="42"/>
      <x:c r="M137" s="42"/>
    </x:row>
    <x:row r="138">
      <x:c r="A138" s="42"/>
      <x:c r="B138" s="42"/>
      <x:c r="C138" s="42"/>
      <x:c r="D138" s="42"/>
      <x:c r="E138" s="42"/>
      <x:c r="F138" s="42"/>
      <x:c r="G138" s="42"/>
      <x:c r="H138" s="42"/>
      <x:c r="I138" s="42"/>
      <x:c r="J138" s="42"/>
      <x:c r="K138" s="42"/>
      <x:c r="L138" s="42"/>
      <x:c r="M138" s="42"/>
    </x:row>
    <x:row r="139">
      <x:c r="A139" s="42"/>
      <x:c r="B139" s="42"/>
      <x:c r="C139" s="42"/>
      <x:c r="D139" s="42"/>
      <x:c r="E139" s="42"/>
      <x:c r="F139" s="42"/>
      <x:c r="G139" s="42"/>
      <x:c r="H139" s="42"/>
      <x:c r="I139" s="42"/>
      <x:c r="J139" s="42"/>
      <x:c r="K139" s="42"/>
      <x:c r="L139" s="42"/>
      <x:c r="M139" s="42"/>
    </x:row>
    <x:row r="140">
      <x:c r="A140" s="42"/>
      <x:c r="B140" s="42"/>
      <x:c r="C140" s="42"/>
      <x:c r="D140" s="42"/>
      <x:c r="E140" s="42"/>
      <x:c r="F140" s="42"/>
      <x:c r="G140" s="42"/>
      <x:c r="H140" s="42"/>
      <x:c r="I140" s="42"/>
      <x:c r="J140" s="42"/>
      <x:c r="K140" s="42"/>
      <x:c r="L140" s="42"/>
      <x:c r="M140" s="42"/>
    </x:row>
    <x:row r="141">
      <x:c r="A141" s="42"/>
      <x:c r="B141" s="42"/>
      <x:c r="C141" s="42"/>
      <x:c r="D141" s="42"/>
      <x:c r="E141" s="42"/>
      <x:c r="F141" s="42"/>
      <x:c r="G141" s="42"/>
      <x:c r="H141" s="42"/>
      <x:c r="I141" s="42"/>
      <x:c r="J141" s="42"/>
      <x:c r="K141" s="42"/>
      <x:c r="L141" s="42"/>
      <x:c r="M141" s="42"/>
    </x:row>
    <x:row r="142">
      <x:c r="A142" s="42"/>
      <x:c r="B142" s="42"/>
      <x:c r="C142" s="42"/>
      <x:c r="D142" s="42"/>
      <x:c r="E142" s="42"/>
      <x:c r="F142" s="42"/>
      <x:c r="G142" s="42"/>
      <x:c r="H142" s="42"/>
      <x:c r="I142" s="42"/>
      <x:c r="J142" s="42"/>
      <x:c r="K142" s="42"/>
      <x:c r="L142" s="42"/>
      <x:c r="M142" s="42"/>
    </x:row>
    <x:row r="143">
      <x:c r="A143" s="42"/>
      <x:c r="B143" s="42"/>
      <x:c r="C143" s="42"/>
      <x:c r="D143" s="42"/>
      <x:c r="E143" s="42"/>
      <x:c r="F143" s="42"/>
      <x:c r="G143" s="42"/>
      <x:c r="H143" s="42"/>
      <x:c r="I143" s="42"/>
      <x:c r="J143" s="42"/>
      <x:c r="K143" s="42"/>
      <x:c r="L143" s="42"/>
      <x:c r="M143" s="42"/>
    </x:row>
    <x:row r="144">
      <x:c r="A144" s="42"/>
      <x:c r="B144" s="42"/>
      <x:c r="C144" s="42"/>
      <x:c r="D144" s="42"/>
      <x:c r="E144" s="42"/>
      <x:c r="F144" s="42"/>
      <x:c r="G144" s="42"/>
      <x:c r="H144" s="42"/>
      <x:c r="I144" s="42"/>
      <x:c r="J144" s="42"/>
      <x:c r="K144" s="42"/>
      <x:c r="L144" s="42"/>
      <x:c r="M144" s="42"/>
    </x:row>
    <x:row r="145">
      <x:c r="A145" s="42"/>
      <x:c r="B145" s="42"/>
      <x:c r="C145" s="42"/>
      <x:c r="D145" s="42"/>
      <x:c r="E145" s="42"/>
      <x:c r="F145" s="42"/>
      <x:c r="G145" s="42"/>
      <x:c r="H145" s="42"/>
      <x:c r="I145" s="42"/>
      <x:c r="J145" s="42"/>
      <x:c r="K145" s="42"/>
      <x:c r="L145" s="42"/>
      <x:c r="M145" s="42"/>
    </x:row>
    <x:row r="146">
      <x:c r="A146" s="42"/>
      <x:c r="B146" s="42"/>
      <x:c r="C146" s="42"/>
      <x:c r="D146" s="42"/>
      <x:c r="E146" s="42"/>
      <x:c r="F146" s="42"/>
      <x:c r="G146" s="42"/>
      <x:c r="H146" s="42"/>
      <x:c r="I146" s="42"/>
      <x:c r="J146" s="42"/>
      <x:c r="K146" s="42"/>
      <x:c r="L146" s="42"/>
      <x:c r="M146" s="42"/>
    </x:row>
    <x:row r="147">
      <x:c r="A147" s="42"/>
      <x:c r="B147" s="42"/>
      <x:c r="C147" s="42"/>
      <x:c r="D147" s="42"/>
      <x:c r="E147" s="42"/>
      <x:c r="F147" s="42"/>
      <x:c r="G147" s="42"/>
      <x:c r="H147" s="42"/>
      <x:c r="I147" s="42"/>
      <x:c r="J147" s="42"/>
      <x:c r="K147" s="42"/>
      <x:c r="L147" s="42"/>
      <x:c r="M147" s="42"/>
    </x:row>
    <x:row r="148">
      <x:c r="A148" s="42"/>
      <x:c r="B148" s="42"/>
      <x:c r="C148" s="42"/>
      <x:c r="D148" s="42"/>
      <x:c r="E148" s="42"/>
      <x:c r="F148" s="42"/>
      <x:c r="G148" s="42"/>
      <x:c r="H148" s="42"/>
      <x:c r="I148" s="42"/>
      <x:c r="J148" s="42"/>
      <x:c r="K148" s="42"/>
      <x:c r="L148" s="42"/>
      <x:c r="M148" s="42"/>
    </x:row>
    <x:row r="149">
      <x:c r="A149" s="42"/>
      <x:c r="B149" s="42"/>
      <x:c r="C149" s="42"/>
      <x:c r="D149" s="42"/>
      <x:c r="E149" s="42"/>
      <x:c r="F149" s="42"/>
      <x:c r="G149" s="42"/>
      <x:c r="H149" s="42"/>
      <x:c r="I149" s="42"/>
      <x:c r="J149" s="42"/>
      <x:c r="K149" s="42"/>
      <x:c r="L149" s="42"/>
      <x:c r="M149" s="42"/>
    </x:row>
    <x:row r="150">
      <x:c r="A150" s="42"/>
      <x:c r="B150" s="42"/>
      <x:c r="C150" s="42"/>
      <x:c r="D150" s="42"/>
      <x:c r="E150" s="42"/>
      <x:c r="F150" s="42"/>
      <x:c r="G150" s="42"/>
      <x:c r="H150" s="42"/>
      <x:c r="I150" s="42"/>
      <x:c r="J150" s="42"/>
      <x:c r="K150" s="42"/>
      <x:c r="L150" s="42"/>
      <x:c r="M150" s="42"/>
    </x:row>
    <x:row r="151">
      <x:c r="A151" s="42"/>
      <x:c r="B151" s="42"/>
      <x:c r="C151" s="42"/>
      <x:c r="D151" s="42"/>
      <x:c r="E151" s="42"/>
      <x:c r="F151" s="42"/>
      <x:c r="G151" s="42"/>
      <x:c r="H151" s="42"/>
      <x:c r="I151" s="42"/>
      <x:c r="J151" s="42"/>
      <x:c r="K151" s="42"/>
      <x:c r="L151" s="42"/>
      <x:c r="M151" s="42"/>
    </x:row>
    <x:row r="152">
      <x:c r="A152" s="42"/>
      <x:c r="B152" s="42"/>
      <x:c r="C152" s="42"/>
      <x:c r="D152" s="42"/>
      <x:c r="E152" s="42"/>
      <x:c r="F152" s="42"/>
      <x:c r="G152" s="42"/>
      <x:c r="H152" s="42"/>
      <x:c r="I152" s="42"/>
      <x:c r="J152" s="42"/>
      <x:c r="K152" s="42"/>
      <x:c r="L152" s="42"/>
      <x:c r="M152" s="42"/>
    </x:row>
    <x:row r="153">
      <x:c r="A153" s="42"/>
      <x:c r="B153" s="42"/>
      <x:c r="C153" s="42"/>
      <x:c r="D153" s="42"/>
      <x:c r="E153" s="42"/>
      <x:c r="F153" s="42"/>
      <x:c r="G153" s="42"/>
      <x:c r="H153" s="42"/>
      <x:c r="I153" s="42"/>
      <x:c r="J153" s="42"/>
      <x:c r="K153" s="42"/>
      <x:c r="L153" s="42"/>
      <x:c r="M153" s="42"/>
    </x:row>
    <x:row r="154">
      <x:c r="A154" s="42"/>
      <x:c r="B154" s="42"/>
      <x:c r="C154" s="42"/>
      <x:c r="D154" s="42"/>
      <x:c r="E154" s="42"/>
      <x:c r="F154" s="42"/>
      <x:c r="G154" s="42"/>
      <x:c r="H154" s="42"/>
      <x:c r="I154" s="42"/>
      <x:c r="J154" s="42"/>
      <x:c r="K154" s="42"/>
      <x:c r="L154" s="42"/>
      <x:c r="M154" s="42"/>
    </x:row>
    <x:row r="155">
      <x:c r="A155" s="42"/>
      <x:c r="B155" s="42"/>
      <x:c r="C155" s="42"/>
      <x:c r="D155" s="42"/>
      <x:c r="E155" s="42"/>
      <x:c r="F155" s="42"/>
      <x:c r="G155" s="42"/>
      <x:c r="H155" s="42"/>
      <x:c r="I155" s="42"/>
      <x:c r="J155" s="42"/>
      <x:c r="K155" s="42"/>
      <x:c r="L155" s="42"/>
      <x:c r="M155" s="42"/>
    </x:row>
    <x:row r="156">
      <x:c r="A156" s="42"/>
      <x:c r="B156" s="42"/>
      <x:c r="C156" s="42"/>
      <x:c r="D156" s="42"/>
      <x:c r="E156" s="42"/>
      <x:c r="F156" s="42"/>
      <x:c r="G156" s="42"/>
      <x:c r="H156" s="42"/>
      <x:c r="I156" s="42"/>
      <x:c r="J156" s="42"/>
      <x:c r="K156" s="42"/>
      <x:c r="L156" s="42"/>
      <x:c r="M156" s="42"/>
    </x:row>
    <x:row r="157">
      <x:c r="A157" s="42"/>
      <x:c r="B157" s="42"/>
      <x:c r="C157" s="42"/>
      <x:c r="D157" s="42"/>
      <x:c r="E157" s="42"/>
      <x:c r="F157" s="42"/>
      <x:c r="G157" s="42"/>
      <x:c r="H157" s="42"/>
      <x:c r="I157" s="42"/>
      <x:c r="J157" s="42"/>
      <x:c r="K157" s="42"/>
      <x:c r="L157" s="42"/>
      <x:c r="M157" s="42"/>
    </x:row>
    <x:row r="158">
      <x:c r="A158" s="42"/>
      <x:c r="B158" s="42"/>
      <x:c r="C158" s="42"/>
      <x:c r="D158" s="42"/>
      <x:c r="E158" s="42"/>
      <x:c r="F158" s="42"/>
      <x:c r="G158" s="42"/>
      <x:c r="H158" s="42"/>
      <x:c r="I158" s="42"/>
      <x:c r="J158" s="42"/>
      <x:c r="K158" s="42"/>
      <x:c r="L158" s="42"/>
      <x:c r="M158" s="42"/>
    </x:row>
    <x:row r="159">
      <x:c r="A159" s="42"/>
      <x:c r="B159" s="42"/>
      <x:c r="C159" s="42"/>
      <x:c r="D159" s="42"/>
      <x:c r="E159" s="42"/>
      <x:c r="F159" s="42"/>
      <x:c r="G159" s="42"/>
      <x:c r="H159" s="42"/>
      <x:c r="I159" s="42"/>
      <x:c r="J159" s="42"/>
      <x:c r="K159" s="42"/>
      <x:c r="L159" s="42"/>
      <x:c r="M159" s="42"/>
    </x:row>
    <x:row r="160">
      <x:c r="A160" s="42"/>
      <x:c r="B160" s="42"/>
      <x:c r="C160" s="42"/>
      <x:c r="D160" s="42"/>
      <x:c r="E160" s="42"/>
      <x:c r="F160" s="42"/>
      <x:c r="G160" s="42"/>
      <x:c r="H160" s="42"/>
      <x:c r="I160" s="42"/>
      <x:c r="J160" s="42"/>
      <x:c r="K160" s="42"/>
      <x:c r="L160" s="42"/>
      <x:c r="M160" s="42"/>
    </x:row>
    <x:row r="161">
      <x:c r="A161" s="42"/>
      <x:c r="B161" s="42"/>
      <x:c r="C161" s="42"/>
      <x:c r="D161" s="42"/>
      <x:c r="E161" s="42"/>
      <x:c r="F161" s="42"/>
      <x:c r="G161" s="42"/>
      <x:c r="H161" s="42"/>
      <x:c r="I161" s="42"/>
      <x:c r="J161" s="42"/>
      <x:c r="K161" s="42"/>
      <x:c r="L161" s="42"/>
      <x:c r="M161" s="42"/>
    </x:row>
    <x:row r="162">
      <x:c r="A162" s="42"/>
      <x:c r="B162" s="42"/>
      <x:c r="C162" s="42"/>
      <x:c r="D162" s="42"/>
      <x:c r="E162" s="42"/>
      <x:c r="F162" s="42"/>
      <x:c r="G162" s="42"/>
      <x:c r="H162" s="42"/>
      <x:c r="I162" s="42"/>
      <x:c r="J162" s="42"/>
      <x:c r="K162" s="42"/>
      <x:c r="L162" s="42"/>
      <x:c r="M162" s="42"/>
    </x:row>
    <x:row r="163">
      <x:c r="A163" s="42"/>
      <x:c r="B163" s="42"/>
      <x:c r="C163" s="42"/>
      <x:c r="D163" s="42"/>
      <x:c r="E163" s="42"/>
      <x:c r="F163" s="42"/>
      <x:c r="G163" s="42"/>
      <x:c r="H163" s="42"/>
      <x:c r="I163" s="42"/>
      <x:c r="J163" s="42"/>
      <x:c r="K163" s="42"/>
      <x:c r="L163" s="42"/>
      <x:c r="M163" s="42"/>
    </x:row>
    <x:row r="164">
      <x:c r="A164" s="42"/>
      <x:c r="B164" s="42"/>
      <x:c r="C164" s="42"/>
      <x:c r="D164" s="42"/>
      <x:c r="E164" s="42"/>
      <x:c r="F164" s="42"/>
      <x:c r="G164" s="42"/>
      <x:c r="H164" s="42"/>
      <x:c r="I164" s="42"/>
      <x:c r="J164" s="42"/>
      <x:c r="K164" s="42"/>
      <x:c r="L164" s="42"/>
      <x:c r="M164" s="42"/>
    </x:row>
    <x:row r="165">
      <x:c r="A165" s="42"/>
      <x:c r="B165" s="42"/>
      <x:c r="C165" s="42"/>
      <x:c r="D165" s="42"/>
      <x:c r="E165" s="42"/>
      <x:c r="F165" s="42"/>
      <x:c r="G165" s="42"/>
      <x:c r="H165" s="42"/>
      <x:c r="I165" s="42"/>
      <x:c r="J165" s="42"/>
      <x:c r="K165" s="42"/>
      <x:c r="L165" s="42"/>
      <x:c r="M165" s="42"/>
    </x:row>
    <x:row r="166">
      <x:c r="A166" s="42"/>
      <x:c r="B166" s="42"/>
      <x:c r="C166" s="42"/>
      <x:c r="D166" s="42"/>
      <x:c r="E166" s="42"/>
      <x:c r="F166" s="42"/>
      <x:c r="G166" s="42"/>
      <x:c r="H166" s="42"/>
      <x:c r="I166" s="42"/>
      <x:c r="J166" s="42"/>
      <x:c r="K166" s="42"/>
      <x:c r="L166" s="42"/>
      <x:c r="M166" s="42"/>
    </x:row>
    <x:row r="167">
      <x:c r="A167" s="42"/>
      <x:c r="B167" s="42"/>
      <x:c r="C167" s="42"/>
      <x:c r="D167" s="42"/>
      <x:c r="E167" s="42"/>
      <x:c r="F167" s="42"/>
      <x:c r="G167" s="42"/>
      <x:c r="H167" s="42"/>
      <x:c r="I167" s="42"/>
      <x:c r="J167" s="42"/>
      <x:c r="K167" s="42"/>
      <x:c r="L167" s="42"/>
      <x:c r="M167" s="42"/>
    </x:row>
    <x:row r="168">
      <x:c r="A168" s="42"/>
      <x:c r="B168" s="42"/>
      <x:c r="C168" s="42"/>
      <x:c r="D168" s="42"/>
      <x:c r="E168" s="42"/>
      <x:c r="F168" s="42"/>
      <x:c r="G168" s="42"/>
      <x:c r="H168" s="42"/>
      <x:c r="I168" s="42"/>
      <x:c r="J168" s="42"/>
      <x:c r="K168" s="42"/>
      <x:c r="L168" s="42"/>
      <x:c r="M168" s="42"/>
    </x:row>
    <x:row r="169">
      <x:c r="A169" s="42"/>
      <x:c r="B169" s="42"/>
      <x:c r="C169" s="42"/>
      <x:c r="D169" s="42"/>
      <x:c r="E169" s="42"/>
      <x:c r="F169" s="42"/>
      <x:c r="G169" s="42"/>
      <x:c r="H169" s="42"/>
      <x:c r="I169" s="42"/>
      <x:c r="J169" s="42"/>
      <x:c r="K169" s="42"/>
      <x:c r="L169" s="42"/>
      <x:c r="M169" s="42"/>
    </x:row>
    <x:row r="170">
      <x:c r="A170" s="42"/>
      <x:c r="B170" s="42"/>
      <x:c r="C170" s="42"/>
      <x:c r="D170" s="42"/>
      <x:c r="E170" s="42"/>
      <x:c r="F170" s="42"/>
      <x:c r="G170" s="42"/>
      <x:c r="H170" s="42"/>
      <x:c r="I170" s="42"/>
      <x:c r="J170" s="42"/>
      <x:c r="K170" s="42"/>
      <x:c r="L170" s="42"/>
      <x:c r="M170" s="42"/>
    </x:row>
    <x:row r="171">
      <x:c r="A171" s="42"/>
      <x:c r="B171" s="42"/>
      <x:c r="C171" s="42"/>
      <x:c r="D171" s="42"/>
      <x:c r="E171" s="42"/>
      <x:c r="F171" s="42"/>
      <x:c r="G171" s="42"/>
      <x:c r="H171" s="42"/>
      <x:c r="I171" s="42"/>
      <x:c r="J171" s="42"/>
      <x:c r="K171" s="42"/>
      <x:c r="L171" s="42"/>
      <x:c r="M171" s="42"/>
    </x:row>
    <x:row r="172">
      <x:c r="A172" s="42"/>
      <x:c r="B172" s="42"/>
      <x:c r="C172" s="42"/>
      <x:c r="D172" s="42"/>
      <x:c r="E172" s="42"/>
      <x:c r="F172" s="42"/>
      <x:c r="G172" s="42"/>
      <x:c r="H172" s="42"/>
      <x:c r="I172" s="42"/>
      <x:c r="J172" s="42"/>
      <x:c r="K172" s="42"/>
      <x:c r="L172" s="42"/>
      <x:c r="M172" s="42"/>
    </x:row>
    <x:row r="173">
      <x:c r="A173" s="42"/>
      <x:c r="B173" s="42"/>
      <x:c r="C173" s="42"/>
      <x:c r="D173" s="42"/>
      <x:c r="E173" s="42"/>
      <x:c r="F173" s="42"/>
      <x:c r="G173" s="42"/>
      <x:c r="H173" s="42"/>
      <x:c r="I173" s="42"/>
      <x:c r="J173" s="42"/>
      <x:c r="K173" s="42"/>
      <x:c r="L173" s="42"/>
      <x:c r="M173" s="42"/>
    </x:row>
    <x:row r="174">
      <x:c r="A174" s="42"/>
      <x:c r="B174" s="42"/>
      <x:c r="C174" s="42"/>
      <x:c r="D174" s="42"/>
      <x:c r="E174" s="42"/>
      <x:c r="F174" s="42"/>
      <x:c r="G174" s="42"/>
      <x:c r="H174" s="42"/>
      <x:c r="I174" s="42"/>
      <x:c r="J174" s="42"/>
      <x:c r="K174" s="42"/>
      <x:c r="L174" s="42"/>
      <x:c r="M174" s="42"/>
    </x:row>
    <x:row r="175">
      <x:c r="A175" s="42"/>
      <x:c r="B175" s="42"/>
      <x:c r="C175" s="42"/>
      <x:c r="D175" s="42"/>
      <x:c r="E175" s="42"/>
      <x:c r="F175" s="42"/>
      <x:c r="G175" s="42"/>
      <x:c r="H175" s="42"/>
      <x:c r="I175" s="42"/>
      <x:c r="J175" s="42"/>
      <x:c r="K175" s="42"/>
      <x:c r="L175" s="42"/>
      <x:c r="M175" s="42"/>
    </x:row>
    <x:row r="176">
      <x:c r="A176" s="42"/>
      <x:c r="B176" s="42"/>
      <x:c r="C176" s="42"/>
      <x:c r="D176" s="42"/>
      <x:c r="E176" s="42"/>
      <x:c r="F176" s="42"/>
      <x:c r="G176" s="42"/>
      <x:c r="H176" s="42"/>
      <x:c r="I176" s="42"/>
      <x:c r="J176" s="42"/>
      <x:c r="K176" s="42"/>
      <x:c r="L176" s="42"/>
      <x:c r="M176" s="42"/>
    </x:row>
    <x:row r="177">
      <x:c r="A177" s="42"/>
      <x:c r="B177" s="42"/>
      <x:c r="C177" s="42"/>
      <x:c r="D177" s="42"/>
      <x:c r="E177" s="42"/>
      <x:c r="F177" s="42"/>
      <x:c r="G177" s="42"/>
      <x:c r="H177" s="42"/>
      <x:c r="I177" s="42"/>
      <x:c r="J177" s="42"/>
      <x:c r="K177" s="42"/>
      <x:c r="L177" s="42"/>
      <x:c r="M177" s="42"/>
    </x:row>
    <x:row r="178">
      <x:c r="A178" s="42"/>
      <x:c r="B178" s="42"/>
      <x:c r="C178" s="42"/>
      <x:c r="D178" s="42"/>
      <x:c r="E178" s="42"/>
      <x:c r="F178" s="42"/>
      <x:c r="G178" s="42"/>
      <x:c r="H178" s="42"/>
      <x:c r="I178" s="42"/>
      <x:c r="J178" s="42"/>
      <x:c r="K178" s="42"/>
      <x:c r="L178" s="42"/>
      <x:c r="M178" s="42"/>
    </x:row>
    <x:row r="179">
      <x:c r="A179" s="42"/>
      <x:c r="B179" s="42"/>
      <x:c r="C179" s="42"/>
      <x:c r="D179" s="42"/>
      <x:c r="E179" s="42"/>
      <x:c r="F179" s="42"/>
      <x:c r="G179" s="42"/>
      <x:c r="H179" s="42"/>
      <x:c r="I179" s="42"/>
      <x:c r="J179" s="42"/>
      <x:c r="K179" s="42"/>
      <x:c r="L179" s="42"/>
      <x:c r="M179" s="42"/>
    </x:row>
    <x:row r="180">
      <x:c r="A180" s="42"/>
      <x:c r="B180" s="42"/>
      <x:c r="C180" s="42"/>
      <x:c r="D180" s="42"/>
      <x:c r="E180" s="42"/>
      <x:c r="F180" s="42"/>
      <x:c r="G180" s="42"/>
      <x:c r="H180" s="42"/>
      <x:c r="I180" s="42"/>
      <x:c r="J180" s="42"/>
      <x:c r="K180" s="42"/>
      <x:c r="L180" s="42"/>
      <x:c r="M180" s="42"/>
    </x:row>
    <x:row r="181">
      <x:c r="A181" s="42"/>
      <x:c r="B181" s="42"/>
      <x:c r="C181" s="42"/>
      <x:c r="D181" s="42"/>
      <x:c r="E181" s="42"/>
      <x:c r="F181" s="42"/>
      <x:c r="G181" s="42"/>
      <x:c r="H181" s="42"/>
      <x:c r="I181" s="42"/>
      <x:c r="J181" s="42"/>
      <x:c r="K181" s="42"/>
      <x:c r="L181" s="42"/>
      <x:c r="M181" s="42"/>
    </x:row>
    <x:row r="182">
      <x:c r="A182" s="42"/>
      <x:c r="B182" s="42"/>
      <x:c r="C182" s="42"/>
      <x:c r="D182" s="42"/>
      <x:c r="E182" s="42"/>
      <x:c r="F182" s="42"/>
      <x:c r="G182" s="42"/>
      <x:c r="H182" s="42"/>
      <x:c r="I182" s="42"/>
      <x:c r="J182" s="42"/>
      <x:c r="K182" s="42"/>
      <x:c r="L182" s="42"/>
      <x:c r="M182" s="42"/>
    </x:row>
    <x:row r="183">
      <x:c r="A183" s="42"/>
      <x:c r="B183" s="42"/>
      <x:c r="C183" s="42"/>
      <x:c r="D183" s="42"/>
      <x:c r="E183" s="42"/>
      <x:c r="F183" s="42"/>
      <x:c r="G183" s="42"/>
      <x:c r="H183" s="42"/>
      <x:c r="I183" s="42"/>
      <x:c r="J183" s="42"/>
      <x:c r="K183" s="42"/>
      <x:c r="L183" s="42"/>
      <x:c r="M183" s="42"/>
    </x:row>
    <x:row r="184">
      <x:c r="A184" s="42"/>
      <x:c r="B184" s="42"/>
      <x:c r="C184" s="42"/>
      <x:c r="D184" s="42"/>
      <x:c r="E184" s="42"/>
      <x:c r="F184" s="42"/>
      <x:c r="G184" s="42"/>
      <x:c r="H184" s="42"/>
      <x:c r="I184" s="42"/>
      <x:c r="J184" s="42"/>
      <x:c r="K184" s="42"/>
      <x:c r="L184" s="42"/>
      <x:c r="M184" s="42"/>
    </x:row>
    <x:row r="185">
      <x:c r="A185" s="42"/>
      <x:c r="B185" s="42"/>
      <x:c r="C185" s="42"/>
      <x:c r="D185" s="42"/>
      <x:c r="E185" s="42"/>
      <x:c r="F185" s="42"/>
      <x:c r="G185" s="42"/>
      <x:c r="H185" s="42"/>
      <x:c r="I185" s="42"/>
      <x:c r="J185" s="42"/>
      <x:c r="K185" s="42"/>
      <x:c r="L185" s="42"/>
      <x:c r="M185" s="42"/>
    </x:row>
    <x:row r="186">
      <x:c r="A186" s="42"/>
      <x:c r="B186" s="42"/>
      <x:c r="C186" s="42"/>
      <x:c r="D186" s="42"/>
      <x:c r="E186" s="42"/>
      <x:c r="F186" s="42"/>
      <x:c r="G186" s="42"/>
      <x:c r="H186" s="42"/>
      <x:c r="I186" s="42"/>
      <x:c r="J186" s="42"/>
      <x:c r="K186" s="42"/>
      <x:c r="L186" s="42"/>
      <x:c r="M186" s="42"/>
    </x:row>
    <x:row r="187">
      <x:c r="A187" s="42"/>
      <x:c r="B187" s="42"/>
      <x:c r="C187" s="42"/>
      <x:c r="D187" s="42"/>
      <x:c r="E187" s="42"/>
      <x:c r="F187" s="42"/>
      <x:c r="G187" s="42"/>
      <x:c r="H187" s="42"/>
      <x:c r="I187" s="42"/>
      <x:c r="J187" s="42"/>
      <x:c r="K187" s="42"/>
      <x:c r="L187" s="42"/>
      <x:c r="M187" s="42"/>
    </x:row>
    <x:row r="188">
      <x:c r="A188" s="42"/>
      <x:c r="B188" s="42"/>
      <x:c r="C188" s="42"/>
      <x:c r="D188" s="42"/>
      <x:c r="E188" s="42"/>
      <x:c r="F188" s="42"/>
      <x:c r="G188" s="42"/>
      <x:c r="H188" s="42"/>
      <x:c r="I188" s="42"/>
      <x:c r="J188" s="42"/>
      <x:c r="K188" s="42"/>
      <x:c r="L188" s="42"/>
      <x:c r="M188" s="42"/>
    </x:row>
    <x:row r="189">
      <x:c r="A189" s="42"/>
      <x:c r="B189" s="42"/>
      <x:c r="C189" s="42"/>
      <x:c r="D189" s="42"/>
      <x:c r="E189" s="42"/>
      <x:c r="F189" s="42"/>
      <x:c r="G189" s="42"/>
      <x:c r="H189" s="42"/>
      <x:c r="I189" s="42"/>
      <x:c r="J189" s="42"/>
      <x:c r="K189" s="42"/>
      <x:c r="L189" s="42"/>
      <x:c r="M189" s="42"/>
    </x:row>
    <x:row r="190">
      <x:c r="A190" s="42"/>
      <x:c r="B190" s="42"/>
      <x:c r="C190" s="42"/>
      <x:c r="D190" s="42"/>
      <x:c r="E190" s="42"/>
      <x:c r="F190" s="42"/>
      <x:c r="G190" s="42"/>
      <x:c r="H190" s="42"/>
      <x:c r="I190" s="42"/>
      <x:c r="J190" s="42"/>
      <x:c r="K190" s="42"/>
      <x:c r="L190" s="42"/>
      <x:c r="M190" s="42"/>
    </x:row>
    <x:row r="191">
      <x:c r="A191" s="42"/>
      <x:c r="B191" s="42"/>
      <x:c r="C191" s="42"/>
      <x:c r="D191" s="42"/>
      <x:c r="E191" s="42"/>
      <x:c r="F191" s="42"/>
      <x:c r="G191" s="42"/>
      <x:c r="H191" s="42"/>
      <x:c r="I191" s="42"/>
      <x:c r="J191" s="42"/>
      <x:c r="K191" s="42"/>
      <x:c r="L191" s="42"/>
      <x:c r="M191" s="42"/>
    </x:row>
    <x:row r="192">
      <x:c r="A192" s="42"/>
      <x:c r="B192" s="42"/>
      <x:c r="C192" s="42"/>
      <x:c r="D192" s="42"/>
      <x:c r="E192" s="42"/>
      <x:c r="F192" s="42"/>
      <x:c r="G192" s="42"/>
      <x:c r="H192" s="42"/>
      <x:c r="I192" s="42"/>
      <x:c r="J192" s="42"/>
      <x:c r="K192" s="42"/>
      <x:c r="L192" s="42"/>
      <x:c r="M192" s="42"/>
    </x:row>
    <x:row r="193">
      <x:c r="A193" s="42"/>
      <x:c r="B193" s="42"/>
      <x:c r="C193" s="42"/>
      <x:c r="D193" s="42"/>
      <x:c r="E193" s="42"/>
      <x:c r="F193" s="42"/>
      <x:c r="G193" s="42"/>
      <x:c r="H193" s="42"/>
      <x:c r="I193" s="42"/>
      <x:c r="J193" s="42"/>
      <x:c r="K193" s="42"/>
      <x:c r="L193" s="42"/>
      <x:c r="M193" s="42"/>
    </x:row>
    <x:row r="194">
      <x:c r="A194" s="42"/>
      <x:c r="B194" s="42"/>
      <x:c r="C194" s="42"/>
      <x:c r="D194" s="42"/>
      <x:c r="E194" s="42"/>
      <x:c r="F194" s="42"/>
      <x:c r="G194" s="42"/>
      <x:c r="H194" s="42"/>
      <x:c r="I194" s="42"/>
      <x:c r="J194" s="42"/>
      <x:c r="K194" s="42"/>
      <x:c r="L194" s="42"/>
      <x:c r="M194" s="42"/>
    </x:row>
    <x:row r="195">
      <x:c r="A195" s="42"/>
      <x:c r="B195" s="42"/>
      <x:c r="C195" s="42"/>
      <x:c r="D195" s="42"/>
      <x:c r="E195" s="42"/>
      <x:c r="F195" s="42"/>
      <x:c r="G195" s="42"/>
      <x:c r="H195" s="42"/>
      <x:c r="I195" s="42"/>
      <x:c r="J195" s="42"/>
      <x:c r="K195" s="42"/>
      <x:c r="L195" s="42"/>
      <x:c r="M195" s="42"/>
    </x:row>
    <x:row r="196">
      <x:c r="A196" s="42"/>
      <x:c r="B196" s="42"/>
      <x:c r="C196" s="42"/>
      <x:c r="D196" s="42"/>
      <x:c r="E196" s="42"/>
      <x:c r="F196" s="42"/>
      <x:c r="G196" s="42"/>
      <x:c r="H196" s="42"/>
      <x:c r="I196" s="42"/>
      <x:c r="J196" s="42"/>
      <x:c r="K196" s="42"/>
      <x:c r="L196" s="42"/>
      <x:c r="M196" s="42"/>
    </x:row>
    <x:row r="197">
      <x:c r="A197" s="42"/>
      <x:c r="B197" s="42"/>
      <x:c r="C197" s="42"/>
      <x:c r="D197" s="42"/>
      <x:c r="E197" s="42"/>
      <x:c r="F197" s="42"/>
      <x:c r="G197" s="42"/>
      <x:c r="H197" s="42"/>
      <x:c r="I197" s="42"/>
      <x:c r="J197" s="42"/>
      <x:c r="K197" s="42"/>
      <x:c r="L197" s="42"/>
      <x:c r="M197" s="42"/>
    </x:row>
    <x:row r="198">
      <x:c r="A198" s="42"/>
      <x:c r="B198" s="42"/>
      <x:c r="C198" s="42"/>
      <x:c r="D198" s="42"/>
      <x:c r="E198" s="42"/>
      <x:c r="F198" s="42"/>
      <x:c r="G198" s="42"/>
      <x:c r="H198" s="42"/>
      <x:c r="I198" s="42"/>
      <x:c r="J198" s="42"/>
      <x:c r="K198" s="42"/>
      <x:c r="L198" s="42"/>
      <x:c r="M198" s="42"/>
    </x:row>
    <x:row r="199">
      <x:c r="A199" s="42"/>
      <x:c r="B199" s="42"/>
      <x:c r="C199" s="42"/>
      <x:c r="D199" s="42"/>
      <x:c r="E199" s="42"/>
      <x:c r="F199" s="42"/>
      <x:c r="G199" s="42"/>
      <x:c r="H199" s="42"/>
      <x:c r="I199" s="42"/>
      <x:c r="J199" s="42"/>
      <x:c r="K199" s="42"/>
      <x:c r="L199" s="42"/>
      <x:c r="M199" s="42"/>
    </x:row>
    <x:row r="200">
      <x:c r="A200" s="42"/>
      <x:c r="B200" s="42"/>
      <x:c r="C200" s="42"/>
      <x:c r="D200" s="42"/>
      <x:c r="E200" s="42"/>
      <x:c r="F200" s="42"/>
      <x:c r="G200" s="42"/>
      <x:c r="H200" s="42"/>
      <x:c r="I200" s="42"/>
      <x:c r="J200" s="42"/>
      <x:c r="K200" s="42"/>
      <x:c r="L200" s="42"/>
      <x:c r="M200" s="42"/>
    </x:row>
  </x:sheetData>
  <x:mergeCells>
    <x:mergeCell ref="A1:M1"/>
    <x:mergeCell ref="A2:M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.75" hidden="0" customWidth="1"/>
    <x:col min="2" max="2" width="11.880000114440918" hidden="0" customWidth="1"/>
    <x:col min="3" max="3" width="11.880000114440918" hidden="0" customWidth="1"/>
    <x:col min="4" max="4" width="11.880000114440918" hidden="0" customWidth="1"/>
    <x:col min="5" max="5" width="11.880000114440918" hidden="0" customWidth="1"/>
    <x:col min="6" max="6" width="11.880000114440918" hidden="0" customWidth="1"/>
    <x:col min="7" max="7" width="11.880000114440918" hidden="0" customWidth="1"/>
    <x:col min="8" max="8" width="11.880000114440918" hidden="0" customWidth="1"/>
    <x:col min="9" max="9" width="11.880000114440918" hidden="0" customWidth="1"/>
    <x:col min="10" max="10" width="11.880000114440918" hidden="0" customWidth="1"/>
    <x:col min="11" max="11" width="11.880000114440918" hidden="0" customWidth="1"/>
    <x:col min="12" max="12" width="11.880000114440918" hidden="0" customWidth="1"/>
    <x:col min="13" max="13" width="11.880000114440918" hidden="0" customWidth="1"/>
  </x:cols>
  <x:sheetData>
    <x:row r="1" ht="25.5" customHeight="1">
      <x:c r="A1" s="41" t="str">
        <x:v>Лист 3. Конверсии по тарифам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</x:row>
    <x:row r="2" ht="22.5" customHeight="1">
      <x:c r="A2" s="43" t="str">
        <x:v>Расчет новых подписчиков, апгрейдов, оттока и активной платной базы по Starter / Pro / MAX.</x:v>
      </x:c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</x:row>
    <x:row r="3">
      <x:c r="A3" s="42"/>
      <x:c r="B3" s="42"/>
      <x:c r="C3" s="42"/>
      <x:c r="D3" s="42"/>
      <x:c r="E3" s="42"/>
      <x:c r="F3" s="42"/>
      <x:c r="G3" s="42"/>
      <x:c r="H3" s="42"/>
      <x:c r="I3" s="42"/>
      <x:c r="J3" s="42"/>
      <x:c r="K3" s="42"/>
      <x:c r="L3" s="42"/>
      <x:c r="M3" s="42"/>
    </x:row>
    <x:row r="4">
      <x:c r="A4" s="44" t="str">
        <x:v>Показатель</x:v>
      </x:c>
      <x:c r="B4" s="44" t="str">
        <x:v>М1</x:v>
      </x:c>
      <x:c r="C4" s="44" t="str">
        <x:v>М2</x:v>
      </x:c>
      <x:c r="D4" s="44" t="str">
        <x:v>М3</x:v>
      </x:c>
      <x:c r="E4" s="44" t="str">
        <x:v>М4</x:v>
      </x:c>
      <x:c r="F4" s="44" t="str">
        <x:v>М5</x:v>
      </x:c>
      <x:c r="G4" s="44" t="str">
        <x:v>М6</x:v>
      </x:c>
      <x:c r="H4" s="44" t="str">
        <x:v>М7</x:v>
      </x:c>
      <x:c r="I4" s="44" t="str">
        <x:v>М8</x:v>
      </x:c>
      <x:c r="J4" s="44" t="str">
        <x:v>М9</x:v>
      </x:c>
      <x:c r="K4" s="44" t="str">
        <x:v>М10</x:v>
      </x:c>
      <x:c r="L4" s="44" t="str">
        <x:v>М11</x:v>
      </x:c>
      <x:c r="M4" s="44" t="str">
        <x:v>М12</x:v>
      </x:c>
    </x:row>
    <x:row r="5">
      <x:c r="A5" s="45" t="str">
        <x:v>Новые активированные пользователи</x:v>
      </x:c>
      <x:c r="B5" s="62" t="n">
        <x:f>'Пользовательская воронка'!B9</x:f>
        <x:v>115</x:v>
      </x:c>
      <x:c r="C5" s="62" t="n">
        <x:f>'Пользовательская воронка'!C9</x:f>
        <x:v>248</x:v>
      </x:c>
      <x:c r="D5" s="62" t="n">
        <x:f>'Пользовательская воронка'!D9</x:f>
        <x:v>533</x:v>
      </x:c>
      <x:c r="E5" s="62" t="n">
        <x:f>'Пользовательская воронка'!E9</x:f>
        <x:v>950</x:v>
      </x:c>
      <x:c r="F5" s="62" t="n">
        <x:f>'Пользовательская воронка'!F9</x:f>
        <x:v>1825</x:v>
      </x:c>
      <x:c r="G5" s="62" t="n">
        <x:f>'Пользовательская воронка'!G9</x:f>
        <x:v>3240</x:v>
      </x:c>
      <x:c r="H5" s="62" t="n">
        <x:f>'Пользовательская воронка'!H9</x:f>
        <x:v>5166</x:v>
      </x:c>
      <x:c r="I5" s="62" t="n">
        <x:f>'Пользовательская воронка'!I9</x:f>
        <x:v>7917</x:v>
      </x:c>
      <x:c r="J5" s="62" t="n">
        <x:f>'Пользовательская воронка'!J9</x:f>
        <x:v>10965</x:v>
      </x:c>
      <x:c r="K5" s="62" t="n">
        <x:f>'Пользовательская воронка'!K9</x:f>
        <x:v>15004</x:v>
      </x:c>
      <x:c r="L5" s="62" t="n">
        <x:f>'Пользовательская воронка'!L9</x:f>
        <x:v>18720</x:v>
      </x:c>
      <x:c r="M5" s="62" t="n">
        <x:f>'Пользовательская воронка'!M9</x:f>
        <x:v>22770</x:v>
      </x:c>
    </x:row>
    <x:row r="6">
      <x:c r="A6" s="45" t="str">
        <x:v>Free → Starter</x:v>
      </x:c>
      <x:c r="B6" s="63" t="n">
        <x:f>'Исходные данные'!B46</x:f>
        <x:v>0.016</x:v>
      </x:c>
      <x:c r="C6" s="63" t="n">
        <x:f>'Исходные данные'!C46</x:f>
        <x:v>0.018</x:v>
      </x:c>
      <x:c r="D6" s="63" t="n">
        <x:f>'Исходные данные'!D46</x:f>
        <x:v>0.02</x:v>
      </x:c>
      <x:c r="E6" s="63" t="n">
        <x:f>'Исходные данные'!E46</x:f>
        <x:v>0.021</x:v>
      </x:c>
      <x:c r="F6" s="63" t="n">
        <x:f>'Исходные данные'!F46</x:f>
        <x:v>0.022</x:v>
      </x:c>
      <x:c r="G6" s="63" t="n">
        <x:f>'Исходные данные'!G46</x:f>
        <x:v>0.024</x:v>
      </x:c>
      <x:c r="H6" s="63" t="n">
        <x:f>'Исходные данные'!H46</x:f>
        <x:v>0.025</x:v>
      </x:c>
      <x:c r="I6" s="63" t="n">
        <x:f>'Исходные данные'!I46</x:f>
        <x:v>0.027</x:v>
      </x:c>
      <x:c r="J6" s="63" t="n">
        <x:f>'Исходные данные'!J46</x:f>
        <x:v>0.028</x:v>
      </x:c>
      <x:c r="K6" s="63" t="n">
        <x:f>'Исходные данные'!K46</x:f>
        <x:v>0.03</x:v>
      </x:c>
      <x:c r="L6" s="63" t="n">
        <x:f>'Исходные данные'!L46</x:f>
        <x:v>0.031</x:v>
      </x:c>
      <x:c r="M6" s="63" t="n">
        <x:f>'Исходные данные'!M46</x:f>
        <x:v>0.032</x:v>
      </x:c>
    </x:row>
    <x:row r="7">
      <x:c r="A7" s="45" t="str">
        <x:v>Новые Starter</x:v>
      </x:c>
      <x:c r="B7" s="62" t="n">
        <x:f>ROUND(B5*B6,0)</x:f>
        <x:v>2</x:v>
      </x:c>
      <x:c r="C7" s="62" t="n">
        <x:f>ROUND(C5*C6,0)</x:f>
        <x:v>4</x:v>
      </x:c>
      <x:c r="D7" s="62" t="n">
        <x:f>ROUND(D5*D6,0)</x:f>
        <x:v>11</x:v>
      </x:c>
      <x:c r="E7" s="62" t="n">
        <x:f>ROUND(E5*E6,0)</x:f>
        <x:v>20</x:v>
      </x:c>
      <x:c r="F7" s="62" t="n">
        <x:f>ROUND(F5*F6,0)</x:f>
        <x:v>40</x:v>
      </x:c>
      <x:c r="G7" s="62" t="n">
        <x:f>ROUND(G5*G6,0)</x:f>
        <x:v>78</x:v>
      </x:c>
      <x:c r="H7" s="62" t="n">
        <x:f>ROUND(H5*H6,0)</x:f>
        <x:v>129</x:v>
      </x:c>
      <x:c r="I7" s="62" t="n">
        <x:f>ROUND(I5*I6,0)</x:f>
        <x:v>214</x:v>
      </x:c>
      <x:c r="J7" s="62" t="n">
        <x:f>ROUND(J5*J6,0)</x:f>
        <x:v>307</x:v>
      </x:c>
      <x:c r="K7" s="62" t="n">
        <x:f>ROUND(K5*K6,0)</x:f>
        <x:v>450</x:v>
      </x:c>
      <x:c r="L7" s="62" t="n">
        <x:f>ROUND(L5*L6,0)</x:f>
        <x:v>580</x:v>
      </x:c>
      <x:c r="M7" s="62" t="n">
        <x:f>ROUND(M5*M6,0)</x:f>
        <x:v>729</x:v>
      </x:c>
    </x:row>
    <x:row r="8">
      <x:c r="A8" s="45" t="str">
        <x:v>Free → Pro direct</x:v>
      </x:c>
      <x:c r="B8" s="63" t="n">
        <x:f>'Исходные данные'!B47</x:f>
        <x:v>0.005</x:v>
      </x:c>
      <x:c r="C8" s="63" t="n">
        <x:f>'Исходные данные'!C47</x:f>
        <x:v>0.006</x:v>
      </x:c>
      <x:c r="D8" s="63" t="n">
        <x:f>'Исходные данные'!D47</x:f>
        <x:v>0.007</x:v>
      </x:c>
      <x:c r="E8" s="63" t="n">
        <x:f>'Исходные данные'!E47</x:f>
        <x:v>0.0075</x:v>
      </x:c>
      <x:c r="F8" s="63" t="n">
        <x:f>'Исходные данные'!F47</x:f>
        <x:v>0.008</x:v>
      </x:c>
      <x:c r="G8" s="63" t="n">
        <x:f>'Исходные данные'!G47</x:f>
        <x:v>0.0085</x:v>
      </x:c>
      <x:c r="H8" s="63" t="n">
        <x:f>'Исходные данные'!H47</x:f>
        <x:v>0.009</x:v>
      </x:c>
      <x:c r="I8" s="63" t="n">
        <x:f>'Исходные данные'!I47</x:f>
        <x:v>0.0095</x:v>
      </x:c>
      <x:c r="J8" s="63" t="n">
        <x:f>'Исходные данные'!J47</x:f>
        <x:v>0.01</x:v>
      </x:c>
      <x:c r="K8" s="63" t="n">
        <x:f>'Исходные данные'!K47</x:f>
        <x:v>0.0105</x:v>
      </x:c>
      <x:c r="L8" s="63" t="n">
        <x:f>'Исходные данные'!L47</x:f>
        <x:v>0.011</x:v>
      </x:c>
      <x:c r="M8" s="63" t="n">
        <x:f>'Исходные данные'!M47</x:f>
        <x:v>0.0115</x:v>
      </x:c>
    </x:row>
    <x:row r="9">
      <x:c r="A9" s="45" t="str">
        <x:v>Новые Pro direct</x:v>
      </x:c>
      <x:c r="B9" s="62" t="n">
        <x:f>ROUND(B5*B8,0)</x:f>
        <x:v>1</x:v>
      </x:c>
      <x:c r="C9" s="62" t="n">
        <x:f>ROUND(C5*C8,0)</x:f>
        <x:v>1</x:v>
      </x:c>
      <x:c r="D9" s="62" t="n">
        <x:f>ROUND(D5*D8,0)</x:f>
        <x:v>4</x:v>
      </x:c>
      <x:c r="E9" s="62" t="n">
        <x:f>ROUND(E5*E8,0)</x:f>
        <x:v>7</x:v>
      </x:c>
      <x:c r="F9" s="62" t="n">
        <x:f>ROUND(F5*F8,0)</x:f>
        <x:v>15</x:v>
      </x:c>
      <x:c r="G9" s="62" t="n">
        <x:f>ROUND(G5*G8,0)</x:f>
        <x:v>28</x:v>
      </x:c>
      <x:c r="H9" s="62" t="n">
        <x:f>ROUND(H5*H8,0)</x:f>
        <x:v>46</x:v>
      </x:c>
      <x:c r="I9" s="62" t="n">
        <x:f>ROUND(I5*I8,0)</x:f>
        <x:v>75</x:v>
      </x:c>
      <x:c r="J9" s="62" t="n">
        <x:f>ROUND(J5*J8,0)</x:f>
        <x:v>110</x:v>
      </x:c>
      <x:c r="K9" s="62" t="n">
        <x:f>ROUND(K5*K8,0)</x:f>
        <x:v>158</x:v>
      </x:c>
      <x:c r="L9" s="62" t="n">
        <x:f>ROUND(L5*L8,0)</x:f>
        <x:v>206</x:v>
      </x:c>
      <x:c r="M9" s="62" t="n">
        <x:f>ROUND(M5*M8,0)</x:f>
        <x:v>262</x:v>
      </x:c>
    </x:row>
    <x:row r="10">
      <x:c r="A10" s="45" t="str">
        <x:v>Free → MAX direct</x:v>
      </x:c>
      <x:c r="B10" s="63" t="n">
        <x:f>'Исходные данные'!B48</x:f>
        <x:v>0.0005</x:v>
      </x:c>
      <x:c r="C10" s="63" t="n">
        <x:f>'Исходные данные'!C48</x:f>
        <x:v>0.0006</x:v>
      </x:c>
      <x:c r="D10" s="63" t="n">
        <x:f>'Исходные данные'!D48</x:f>
        <x:v>0.0007</x:v>
      </x:c>
      <x:c r="E10" s="63" t="n">
        <x:f>'Исходные данные'!E48</x:f>
        <x:v>0.0008</x:v>
      </x:c>
      <x:c r="F10" s="63" t="n">
        <x:f>'Исходные данные'!F48</x:f>
        <x:v>0.0009</x:v>
      </x:c>
      <x:c r="G10" s="63" t="n">
        <x:f>'Исходные данные'!G48</x:f>
        <x:v>0.001</x:v>
      </x:c>
      <x:c r="H10" s="63" t="n">
        <x:f>'Исходные данные'!H48</x:f>
        <x:v>0.0011</x:v>
      </x:c>
      <x:c r="I10" s="63" t="n">
        <x:f>'Исходные данные'!I48</x:f>
        <x:v>0.0012</x:v>
      </x:c>
      <x:c r="J10" s="63" t="n">
        <x:f>'Исходные данные'!J48</x:f>
        <x:v>0.0013</x:v>
      </x:c>
      <x:c r="K10" s="63" t="n">
        <x:f>'Исходные данные'!K48</x:f>
        <x:v>0.0014</x:v>
      </x:c>
      <x:c r="L10" s="63" t="n">
        <x:f>'Исходные данные'!L48</x:f>
        <x:v>0.0015</x:v>
      </x:c>
      <x:c r="M10" s="63" t="n">
        <x:f>'Исходные данные'!M48</x:f>
        <x:v>0.0016</x:v>
      </x:c>
    </x:row>
    <x:row r="11">
      <x:c r="A11" s="45" t="str">
        <x:v>Новые MAX direct</x:v>
      </x:c>
      <x:c r="B11" s="62" t="n">
        <x:f>ROUND(B5*B10,0)</x:f>
        <x:v>0</x:v>
      </x:c>
      <x:c r="C11" s="62" t="n">
        <x:f>ROUND(C5*C10,0)</x:f>
        <x:v>0</x:v>
      </x:c>
      <x:c r="D11" s="62" t="n">
        <x:f>ROUND(D5*D10,0)</x:f>
        <x:v>0</x:v>
      </x:c>
      <x:c r="E11" s="62" t="n">
        <x:f>ROUND(E5*E10,0)</x:f>
        <x:v>1</x:v>
      </x:c>
      <x:c r="F11" s="62" t="n">
        <x:f>ROUND(F5*F10,0)</x:f>
        <x:v>2</x:v>
      </x:c>
      <x:c r="G11" s="62" t="n">
        <x:f>ROUND(G5*G10,0)</x:f>
        <x:v>3</x:v>
      </x:c>
      <x:c r="H11" s="62" t="n">
        <x:f>ROUND(H5*H10,0)</x:f>
        <x:v>6</x:v>
      </x:c>
      <x:c r="I11" s="62" t="n">
        <x:f>ROUND(I5*I10,0)</x:f>
        <x:v>10</x:v>
      </x:c>
      <x:c r="J11" s="62" t="n">
        <x:f>ROUND(J5*J10,0)</x:f>
        <x:v>14</x:v>
      </x:c>
      <x:c r="K11" s="62" t="n">
        <x:f>ROUND(K5*K10,0)</x:f>
        <x:v>21</x:v>
      </x:c>
      <x:c r="L11" s="62" t="n">
        <x:f>ROUND(L5*L10,0)</x:f>
        <x:v>28</x:v>
      </x:c>
      <x:c r="M11" s="62" t="n">
        <x:f>ROUND(M5*M10,0)</x:f>
        <x:v>36</x:v>
      </x:c>
    </x:row>
    <x:row r="12">
      <x:c r="A12" s="45" t="str">
        <x:v>Starter churn</x:v>
      </x:c>
      <x:c r="B12" s="63" t="n">
        <x:f>'Исходные данные'!B51</x:f>
        <x:v>0.18</x:v>
      </x:c>
      <x:c r="C12" s="63" t="n">
        <x:f>'Исходные данные'!C51</x:f>
        <x:v>0.17</x:v>
      </x:c>
      <x:c r="D12" s="63" t="n">
        <x:f>'Исходные данные'!D51</x:f>
        <x:v>0.16</x:v>
      </x:c>
      <x:c r="E12" s="63" t="n">
        <x:f>'Исходные данные'!E51</x:f>
        <x:v>0.15</x:v>
      </x:c>
      <x:c r="F12" s="63" t="n">
        <x:f>'Исходные данные'!F51</x:f>
        <x:v>0.14</x:v>
      </x:c>
      <x:c r="G12" s="63" t="n">
        <x:f>'Исходные данные'!G51</x:f>
        <x:v>0.13</x:v>
      </x:c>
      <x:c r="H12" s="63" t="n">
        <x:f>'Исходные данные'!H51</x:f>
        <x:v>0.12</x:v>
      </x:c>
      <x:c r="I12" s="63" t="n">
        <x:f>'Исходные данные'!I51</x:f>
        <x:v>0.12</x:v>
      </x:c>
      <x:c r="J12" s="63" t="n">
        <x:f>'Исходные данные'!J51</x:f>
        <x:v>0.11</x:v>
      </x:c>
      <x:c r="K12" s="63" t="n">
        <x:f>'Исходные данные'!K51</x:f>
        <x:v>0.11</x:v>
      </x:c>
      <x:c r="L12" s="63" t="n">
        <x:f>'Исходные данные'!L51</x:f>
        <x:v>0.1</x:v>
      </x:c>
      <x:c r="M12" s="63" t="n">
        <x:f>'Исходные данные'!M51</x:f>
        <x:v>0.1</x:v>
      </x:c>
    </x:row>
    <x:row r="13">
      <x:c r="A13" s="45" t="str">
        <x:v>Starter retained после churn</x:v>
      </x:c>
      <x:c r="B13" s="62" t="n">
        <x:f>0</x:f>
        <x:v>0</x:v>
      </x:c>
      <x:c r="C13" s="62" t="n">
        <x:f>ROUND(B16*(1-C12),0)</x:f>
        <x:v>2</x:v>
      </x:c>
      <x:c r="D13" s="62" t="n">
        <x:f>ROUND(C16*(1-D12),0)</x:f>
        <x:v>5</x:v>
      </x:c>
      <x:c r="E13" s="62" t="n">
        <x:f>ROUND(D16*(1-E12),0)</x:f>
        <x:v>14</x:v>
      </x:c>
      <x:c r="F13" s="62" t="n">
        <x:f>ROUND(E16*(1-F12),0)</x:f>
        <x:v>28</x:v>
      </x:c>
      <x:c r="G13" s="62" t="n">
        <x:f>ROUND(F16*(1-G12),0)</x:f>
        <x:v>57</x:v>
      </x:c>
      <x:c r="H13" s="62" t="n">
        <x:f>ROUND(G16*(1-H12),0)</x:f>
        <x:v>114</x:v>
      </x:c>
      <x:c r="I13" s="62" t="n">
        <x:f>ROUND(H16*(1-I12),0)</x:f>
        <x:v>205</x:v>
      </x:c>
      <x:c r="J13" s="62" t="n">
        <x:f>ROUND(I16*(1-J12),0)</x:f>
        <x:v>357</x:v>
      </x:c>
      <x:c r="K13" s="62" t="n">
        <x:f>ROUND(J16*(1-K12),0)</x:f>
        <x:v>562</x:v>
      </x:c>
      <x:c r="L13" s="62" t="n">
        <x:f>ROUND(K16*(1-L12),0)</x:f>
        <x:v>860</x:v>
      </x:c>
      <x:c r="M13" s="62" t="n">
        <x:f>ROUND(L16*(1-M12),0)</x:f>
        <x:v>1219</x:v>
      </x:c>
    </x:row>
    <x:row r="14">
      <x:c r="A14" s="45" t="str">
        <x:v>Starter → Pro upgrade</x:v>
      </x:c>
      <x:c r="B14" s="62" t="n">
        <x:f>'Исходные данные'!B49</x:f>
        <x:v>0.05</x:v>
      </x:c>
      <x:c r="C14" s="62" t="n">
        <x:f>'Исходные данные'!C49</x:f>
        <x:v>0.06</x:v>
      </x:c>
      <x:c r="D14" s="62" t="n">
        <x:f>'Исходные данные'!D49</x:f>
        <x:v>0.07</x:v>
      </x:c>
      <x:c r="E14" s="62" t="n">
        <x:f>'Исходные данные'!E49</x:f>
        <x:v>0.08</x:v>
      </x:c>
      <x:c r="F14" s="62" t="n">
        <x:f>'Исходные данные'!F49</x:f>
        <x:v>0.08</x:v>
      </x:c>
      <x:c r="G14" s="62" t="n">
        <x:f>'Исходные данные'!G49</x:f>
        <x:v>0.08</x:v>
      </x:c>
      <x:c r="H14" s="62" t="n">
        <x:f>'Исходные данные'!H49</x:f>
        <x:v>0.09</x:v>
      </x:c>
      <x:c r="I14" s="62" t="n">
        <x:f>'Исходные данные'!I49</x:f>
        <x:v>0.09</x:v>
      </x:c>
      <x:c r="J14" s="62" t="n">
        <x:f>'Исходные данные'!J49</x:f>
        <x:v>0.09</x:v>
      </x:c>
      <x:c r="K14" s="62" t="n">
        <x:f>'Исходные данные'!K49</x:f>
        <x:v>0.1</x:v>
      </x:c>
      <x:c r="L14" s="62" t="n">
        <x:f>'Исходные данные'!L49</x:f>
        <x:v>0.1</x:v>
      </x:c>
      <x:c r="M14" s="62" t="n">
        <x:f>'Исходные данные'!M49</x:f>
        <x:v>0.1</x:v>
      </x:c>
    </x:row>
    <x:row r="15">
      <x:c r="A15" s="45" t="str">
        <x:v>Апгрейды Starter → Pro</x:v>
      </x:c>
      <x:c r="B15" s="62" t="n">
        <x:f>ROUND(B13*B14,0)</x:f>
        <x:v>0</x:v>
      </x:c>
      <x:c r="C15" s="62" t="n">
        <x:f>ROUND(C13*C14,0)</x:f>
        <x:v>0</x:v>
      </x:c>
      <x:c r="D15" s="62" t="n">
        <x:f>ROUND(D13*D14,0)</x:f>
        <x:v>0</x:v>
      </x:c>
      <x:c r="E15" s="62" t="n">
        <x:f>ROUND(E13*E14,0)</x:f>
        <x:v>1</x:v>
      </x:c>
      <x:c r="F15" s="62" t="n">
        <x:f>ROUND(F13*F14,0)</x:f>
        <x:v>2</x:v>
      </x:c>
      <x:c r="G15" s="62" t="n">
        <x:f>ROUND(G13*G14,0)</x:f>
        <x:v>5</x:v>
      </x:c>
      <x:c r="H15" s="62" t="n">
        <x:f>ROUND(H13*H14,0)</x:f>
        <x:v>10</x:v>
      </x:c>
      <x:c r="I15" s="62" t="n">
        <x:f>ROUND(I13*I14,0)</x:f>
        <x:v>18</x:v>
      </x:c>
      <x:c r="J15" s="62" t="n">
        <x:f>ROUND(J13*J14,0)</x:f>
        <x:v>32</x:v>
      </x:c>
      <x:c r="K15" s="62" t="n">
        <x:f>ROUND(K13*K14,0)</x:f>
        <x:v>56</x:v>
      </x:c>
      <x:c r="L15" s="62" t="n">
        <x:f>ROUND(L13*L14,0)</x:f>
        <x:v>86</x:v>
      </x:c>
      <x:c r="M15" s="62" t="n">
        <x:f>ROUND(M13*M14,0)</x:f>
        <x:v>122</x:v>
      </x:c>
    </x:row>
    <x:row r="16">
      <x:c r="A16" s="45" t="str">
        <x:v>Starter EOM</x:v>
      </x:c>
      <x:c r="B16" s="62" t="n">
        <x:f>MAX(0,B13-B15+B7)</x:f>
        <x:v>2</x:v>
      </x:c>
      <x:c r="C16" s="62" t="n">
        <x:f>MAX(0,C13-C15+C7)</x:f>
        <x:v>6</x:v>
      </x:c>
      <x:c r="D16" s="62" t="n">
        <x:f>MAX(0,D13-D15+D7)</x:f>
        <x:v>16</x:v>
      </x:c>
      <x:c r="E16" s="62" t="n">
        <x:f>MAX(0,E13-E15+E7)</x:f>
        <x:v>33</x:v>
      </x:c>
      <x:c r="F16" s="62" t="n">
        <x:f>MAX(0,F13-F15+F7)</x:f>
        <x:v>66</x:v>
      </x:c>
      <x:c r="G16" s="62" t="n">
        <x:f>MAX(0,G13-G15+G7)</x:f>
        <x:v>130</x:v>
      </x:c>
      <x:c r="H16" s="62" t="n">
        <x:f>MAX(0,H13-H15+H7)</x:f>
        <x:v>233</x:v>
      </x:c>
      <x:c r="I16" s="62" t="n">
        <x:f>MAX(0,I13-I15+I7)</x:f>
        <x:v>401</x:v>
      </x:c>
      <x:c r="J16" s="62" t="n">
        <x:f>MAX(0,J13-J15+J7)</x:f>
        <x:v>632</x:v>
      </x:c>
      <x:c r="K16" s="62" t="n">
        <x:f>MAX(0,K13-K15+K7)</x:f>
        <x:v>956</x:v>
      </x:c>
      <x:c r="L16" s="62" t="n">
        <x:f>MAX(0,L13-L15+L7)</x:f>
        <x:v>1354</x:v>
      </x:c>
      <x:c r="M16" s="62" t="n">
        <x:f>MAX(0,M13-M15+M7)</x:f>
        <x:v>1826</x:v>
      </x:c>
    </x:row>
    <x:row r="17">
      <x:c r="A17" s="45" t="str">
        <x:v>Pro churn</x:v>
      </x:c>
      <x:c r="B17" s="63" t="n">
        <x:f>'Исходные данные'!B52</x:f>
        <x:v>0.14</x:v>
      </x:c>
      <x:c r="C17" s="63" t="n">
        <x:f>'Исходные данные'!C52</x:f>
        <x:v>0.13</x:v>
      </x:c>
      <x:c r="D17" s="63" t="n">
        <x:f>'Исходные данные'!D52</x:f>
        <x:v>0.12</x:v>
      </x:c>
      <x:c r="E17" s="63" t="n">
        <x:f>'Исходные данные'!E52</x:f>
        <x:v>0.12</x:v>
      </x:c>
      <x:c r="F17" s="63" t="n">
        <x:f>'Исходные данные'!F52</x:f>
        <x:v>0.11</x:v>
      </x:c>
      <x:c r="G17" s="63" t="n">
        <x:f>'Исходные данные'!G52</x:f>
        <x:v>0.1</x:v>
      </x:c>
      <x:c r="H17" s="63" t="n">
        <x:f>'Исходные данные'!H52</x:f>
        <x:v>0.1</x:v>
      </x:c>
      <x:c r="I17" s="63" t="n">
        <x:f>'Исходные данные'!I52</x:f>
        <x:v>0.09</x:v>
      </x:c>
      <x:c r="J17" s="63" t="n">
        <x:f>'Исходные данные'!J52</x:f>
        <x:v>0.09</x:v>
      </x:c>
      <x:c r="K17" s="63" t="n">
        <x:f>'Исходные данные'!K52</x:f>
        <x:v>0.09</x:v>
      </x:c>
      <x:c r="L17" s="63" t="n">
        <x:f>'Исходные данные'!L52</x:f>
        <x:v>0.08</x:v>
      </x:c>
      <x:c r="M17" s="63" t="n">
        <x:f>'Исходные данные'!M52</x:f>
        <x:v>0.08</x:v>
      </x:c>
    </x:row>
    <x:row r="18">
      <x:c r="A18" s="45" t="str">
        <x:v>Pro retained после churn</x:v>
      </x:c>
      <x:c r="B18" s="62" t="n">
        <x:f>0</x:f>
        <x:v>0</x:v>
      </x:c>
      <x:c r="C18" s="62" t="n">
        <x:f>ROUND(B21*(1-C17),0)</x:f>
        <x:v>1</x:v>
      </x:c>
      <x:c r="D18" s="62" t="n">
        <x:f>ROUND(C21*(1-D17),0)</x:f>
        <x:v>2</x:v>
      </x:c>
      <x:c r="E18" s="62" t="n">
        <x:f>ROUND(D21*(1-E17),0)</x:f>
        <x:v>5</x:v>
      </x:c>
      <x:c r="F18" s="62" t="n">
        <x:f>ROUND(E21*(1-F17),0)</x:f>
        <x:v>12</x:v>
      </x:c>
      <x:c r="G18" s="62" t="n">
        <x:f>ROUND(F21*(1-G17),0)</x:f>
        <x:v>26</x:v>
      </x:c>
      <x:c r="H18" s="62" t="n">
        <x:f>ROUND(G21*(1-H17),0)</x:f>
        <x:v>52</x:v>
      </x:c>
      <x:c r="I18" s="62" t="n">
        <x:f>ROUND(H21*(1-I17),0)</x:f>
        <x:v>96</x:v>
      </x:c>
      <x:c r="J18" s="62" t="n">
        <x:f>ROUND(I21*(1-J17),0)</x:f>
        <x:v>169</x:v>
      </x:c>
      <x:c r="K18" s="62" t="n">
        <x:f>ROUND(J21*(1-K17),0)</x:f>
        <x:v>278</x:v>
      </x:c>
      <x:c r="L18" s="62" t="n">
        <x:f>ROUND(K21*(1-L17),0)</x:f>
        <x:v>443</x:v>
      </x:c>
      <x:c r="M18" s="62" t="n">
        <x:f>ROUND(L21*(1-M17),0)</x:f>
        <x:v>660</x:v>
      </x:c>
    </x:row>
    <x:row r="19">
      <x:c r="A19" s="45" t="str">
        <x:v>Pro → MAX upgrade</x:v>
      </x:c>
      <x:c r="B19" s="63" t="n">
        <x:f>'Исходные данные'!B50</x:f>
        <x:v>0.02</x:v>
      </x:c>
      <x:c r="C19" s="63" t="n">
        <x:f>'Исходные данные'!C50</x:f>
        <x:v>0.02</x:v>
      </x:c>
      <x:c r="D19" s="63" t="n">
        <x:f>'Исходные данные'!D50</x:f>
        <x:v>0.025</x:v>
      </x:c>
      <x:c r="E19" s="63" t="n">
        <x:f>'Исходные данные'!E50</x:f>
        <x:v>0.025</x:v>
      </x:c>
      <x:c r="F19" s="63" t="n">
        <x:f>'Исходные данные'!F50</x:f>
        <x:v>0.03</x:v>
      </x:c>
      <x:c r="G19" s="63" t="n">
        <x:f>'Исходные данные'!G50</x:f>
        <x:v>0.03</x:v>
      </x:c>
      <x:c r="H19" s="63" t="n">
        <x:f>'Исходные данные'!H50</x:f>
        <x:v>0.03</x:v>
      </x:c>
      <x:c r="I19" s="63" t="n">
        <x:f>'Исходные данные'!I50</x:f>
        <x:v>0.035</x:v>
      </x:c>
      <x:c r="J19" s="63" t="n">
        <x:f>'Исходные данные'!J50</x:f>
        <x:v>0.035</x:v>
      </x:c>
      <x:c r="K19" s="63" t="n">
        <x:f>'Исходные данные'!K50</x:f>
        <x:v>0.035</x:v>
      </x:c>
      <x:c r="L19" s="63" t="n">
        <x:f>'Исходные данные'!L50</x:f>
        <x:v>0.04</x:v>
      </x:c>
      <x:c r="M19" s="63" t="n">
        <x:f>'Исходные данные'!M50</x:f>
        <x:v>0.04</x:v>
      </x:c>
    </x:row>
    <x:row r="20">
      <x:c r="A20" s="45" t="str">
        <x:v>Апгрейды Pro → MAX</x:v>
      </x:c>
      <x:c r="B20" s="62" t="n">
        <x:f>ROUND(B18*B19,0)</x:f>
        <x:v>0</x:v>
      </x:c>
      <x:c r="C20" s="62" t="n">
        <x:f>ROUND(C18*C19,0)</x:f>
        <x:v>0</x:v>
      </x:c>
      <x:c r="D20" s="62" t="n">
        <x:f>ROUND(D18*D19,0)</x:f>
        <x:v>0</x:v>
      </x:c>
      <x:c r="E20" s="62" t="n">
        <x:f>ROUND(E18*E19,0)</x:f>
        <x:v>0</x:v>
      </x:c>
      <x:c r="F20" s="62" t="n">
        <x:f>ROUND(F18*F19,0)</x:f>
        <x:v>0</x:v>
      </x:c>
      <x:c r="G20" s="62" t="n">
        <x:f>ROUND(G18*G19,0)</x:f>
        <x:v>1</x:v>
      </x:c>
      <x:c r="H20" s="62" t="n">
        <x:f>ROUND(H18*H19,0)</x:f>
        <x:v>2</x:v>
      </x:c>
      <x:c r="I20" s="62" t="n">
        <x:f>ROUND(I18*I19,0)</x:f>
        <x:v>3</x:v>
      </x:c>
      <x:c r="J20" s="62" t="n">
        <x:f>ROUND(J18*J19,0)</x:f>
        <x:v>6</x:v>
      </x:c>
      <x:c r="K20" s="62" t="n">
        <x:f>ROUND(K18*K19,0)</x:f>
        <x:v>10</x:v>
      </x:c>
      <x:c r="L20" s="62" t="n">
        <x:f>ROUND(L18*L19,0)</x:f>
        <x:v>18</x:v>
      </x:c>
      <x:c r="M20" s="62" t="n">
        <x:f>ROUND(M18*M19,0)</x:f>
        <x:v>26</x:v>
      </x:c>
    </x:row>
    <x:row r="21">
      <x:c r="A21" s="45" t="str">
        <x:v>Pro EOM</x:v>
      </x:c>
      <x:c r="B21" s="62" t="n">
        <x:f>MAX(0,B18-B20+B9+B15)</x:f>
        <x:v>1</x:v>
      </x:c>
      <x:c r="C21" s="62" t="n">
        <x:f>MAX(0,C18-C20+C9+C15)</x:f>
        <x:v>2</x:v>
      </x:c>
      <x:c r="D21" s="62" t="n">
        <x:f>MAX(0,D18-D20+D9+D15)</x:f>
        <x:v>6</x:v>
      </x:c>
      <x:c r="E21" s="62" t="n">
        <x:f>MAX(0,E18-E20+E9+E15)</x:f>
        <x:v>13</x:v>
      </x:c>
      <x:c r="F21" s="62" t="n">
        <x:f>MAX(0,F18-F20+F9+F15)</x:f>
        <x:v>29</x:v>
      </x:c>
      <x:c r="G21" s="62" t="n">
        <x:f>MAX(0,G18-G20+G9+G15)</x:f>
        <x:v>58</x:v>
      </x:c>
      <x:c r="H21" s="62" t="n">
        <x:f>MAX(0,H18-H20+H9+H15)</x:f>
        <x:v>106</x:v>
      </x:c>
      <x:c r="I21" s="62" t="n">
        <x:f>MAX(0,I18-I20+I9+I15)</x:f>
        <x:v>186</x:v>
      </x:c>
      <x:c r="J21" s="62" t="n">
        <x:f>MAX(0,J18-J20+J9+J15)</x:f>
        <x:v>305</x:v>
      </x:c>
      <x:c r="K21" s="62" t="n">
        <x:f>MAX(0,K18-K20+K9+K15)</x:f>
        <x:v>482</x:v>
      </x:c>
      <x:c r="L21" s="62" t="n">
        <x:f>MAX(0,L18-L20+L9+L15)</x:f>
        <x:v>717</x:v>
      </x:c>
      <x:c r="M21" s="62" t="n">
        <x:f>MAX(0,M18-M20+M9+M15)</x:f>
        <x:v>1018</x:v>
      </x:c>
    </x:row>
    <x:row r="22">
      <x:c r="A22" s="45" t="str">
        <x:v>MAX churn</x:v>
      </x:c>
      <x:c r="B22" s="63" t="n">
        <x:f>'Исходные данные'!B53</x:f>
        <x:v>0.12</x:v>
      </x:c>
      <x:c r="C22" s="63" t="n">
        <x:f>'Исходные данные'!C53</x:f>
        <x:v>0.11</x:v>
      </x:c>
      <x:c r="D22" s="63" t="n">
        <x:f>'Исходные данные'!D53</x:f>
        <x:v>0.1</x:v>
      </x:c>
      <x:c r="E22" s="63" t="n">
        <x:f>'Исходные данные'!E53</x:f>
        <x:v>0.1</x:v>
      </x:c>
      <x:c r="F22" s="63" t="n">
        <x:f>'Исходные данные'!F53</x:f>
        <x:v>0.09</x:v>
      </x:c>
      <x:c r="G22" s="63" t="n">
        <x:f>'Исходные данные'!G53</x:f>
        <x:v>0.08</x:v>
      </x:c>
      <x:c r="H22" s="63" t="n">
        <x:f>'Исходные данные'!H53</x:f>
        <x:v>0.08</x:v>
      </x:c>
      <x:c r="I22" s="63" t="n">
        <x:f>'Исходные данные'!I53</x:f>
        <x:v>0.07</x:v>
      </x:c>
      <x:c r="J22" s="63" t="n">
        <x:f>'Исходные данные'!J53</x:f>
        <x:v>0.07</x:v>
      </x:c>
      <x:c r="K22" s="63" t="n">
        <x:f>'Исходные данные'!K53</x:f>
        <x:v>0.07</x:v>
      </x:c>
      <x:c r="L22" s="63" t="n">
        <x:f>'Исходные данные'!L53</x:f>
        <x:v>0.06</x:v>
      </x:c>
      <x:c r="M22" s="63" t="n">
        <x:f>'Исходные данные'!M53</x:f>
        <x:v>0.06</x:v>
      </x:c>
    </x:row>
    <x:row r="23">
      <x:c r="A23" s="45" t="str">
        <x:v>MAX retained после churn</x:v>
      </x:c>
      <x:c r="B23" s="62" t="n">
        <x:f>0</x:f>
        <x:v>0</x:v>
      </x:c>
      <x:c r="C23" s="62" t="n">
        <x:f>ROUND(B24*(1-C22),0)</x:f>
        <x:v>0</x:v>
      </x:c>
      <x:c r="D23" s="62" t="n">
        <x:f>ROUND(C24*(1-D22),0)</x:f>
        <x:v>0</x:v>
      </x:c>
      <x:c r="E23" s="62" t="n">
        <x:f>ROUND(D24*(1-E22),0)</x:f>
        <x:v>0</x:v>
      </x:c>
      <x:c r="F23" s="62" t="n">
        <x:f>ROUND(E24*(1-F22),0)</x:f>
        <x:v>1</x:v>
      </x:c>
      <x:c r="G23" s="62" t="n">
        <x:f>ROUND(F24*(1-G22),0)</x:f>
        <x:v>3</x:v>
      </x:c>
      <x:c r="H23" s="62" t="n">
        <x:f>ROUND(G24*(1-H22),0)</x:f>
        <x:v>6</x:v>
      </x:c>
      <x:c r="I23" s="62" t="n">
        <x:f>ROUND(H24*(1-I22),0)</x:f>
        <x:v>13</x:v>
      </x:c>
      <x:c r="J23" s="62" t="n">
        <x:f>ROUND(I24*(1-J22),0)</x:f>
        <x:v>24</x:v>
      </x:c>
      <x:c r="K23" s="62" t="n">
        <x:f>ROUND(J24*(1-K22),0)</x:f>
        <x:v>41</x:v>
      </x:c>
      <x:c r="L23" s="62" t="n">
        <x:f>ROUND(K24*(1-L22),0)</x:f>
        <x:v>68</x:v>
      </x:c>
      <x:c r="M23" s="62" t="n">
        <x:f>ROUND(L24*(1-M22),0)</x:f>
        <x:v>107</x:v>
      </x:c>
    </x:row>
    <x:row r="24">
      <x:c r="A24" s="45" t="str">
        <x:v>MAX EOM</x:v>
      </x:c>
      <x:c r="B24" s="62" t="n">
        <x:f>MAX(0,B23+B11+B20)</x:f>
        <x:v>0</x:v>
      </x:c>
      <x:c r="C24" s="62" t="n">
        <x:f>MAX(0,C23+C11+C20)</x:f>
        <x:v>0</x:v>
      </x:c>
      <x:c r="D24" s="62" t="n">
        <x:f>MAX(0,D23+D11+D20)</x:f>
        <x:v>0</x:v>
      </x:c>
      <x:c r="E24" s="62" t="n">
        <x:f>MAX(0,E23+E11+E20)</x:f>
        <x:v>1</x:v>
      </x:c>
      <x:c r="F24" s="62" t="n">
        <x:f>MAX(0,F23+F11+F20)</x:f>
        <x:v>3</x:v>
      </x:c>
      <x:c r="G24" s="62" t="n">
        <x:f>MAX(0,G23+G11+G20)</x:f>
        <x:v>7</x:v>
      </x:c>
      <x:c r="H24" s="62" t="n">
        <x:f>MAX(0,H23+H11+H20)</x:f>
        <x:v>14</x:v>
      </x:c>
      <x:c r="I24" s="62" t="n">
        <x:f>MAX(0,I23+I11+I20)</x:f>
        <x:v>26</x:v>
      </x:c>
      <x:c r="J24" s="62" t="n">
        <x:f>MAX(0,J23+J11+J20)</x:f>
        <x:v>44</x:v>
      </x:c>
      <x:c r="K24" s="62" t="n">
        <x:f>MAX(0,K23+K11+K20)</x:f>
        <x:v>72</x:v>
      </x:c>
      <x:c r="L24" s="62" t="n">
        <x:f>MAX(0,L23+L11+L20)</x:f>
        <x:v>114</x:v>
      </x:c>
      <x:c r="M24" s="62" t="n">
        <x:f>MAX(0,M23+M11+M20)</x:f>
        <x:v>169</x:v>
      </x:c>
    </x:row>
    <x:row r="25">
      <x:c r="A25" s="45" t="str">
        <x:v>Всего платящих EOM</x:v>
      </x:c>
      <x:c r="B25" s="62" t="n">
        <x:f>B16+B21+B24</x:f>
        <x:v>3</x:v>
      </x:c>
      <x:c r="C25" s="62" t="n">
        <x:f>C16+C21+C24</x:f>
        <x:v>8</x:v>
      </x:c>
      <x:c r="D25" s="62" t="n">
        <x:f>D16+D21+D24</x:f>
        <x:v>22</x:v>
      </x:c>
      <x:c r="E25" s="62" t="n">
        <x:f>E16+E21+E24</x:f>
        <x:v>47</x:v>
      </x:c>
      <x:c r="F25" s="62" t="n">
        <x:f>F16+F21+F24</x:f>
        <x:v>98</x:v>
      </x:c>
      <x:c r="G25" s="62" t="n">
        <x:f>G16+G21+G24</x:f>
        <x:v>195</x:v>
      </x:c>
      <x:c r="H25" s="62" t="n">
        <x:f>H16+H21+H24</x:f>
        <x:v>353</x:v>
      </x:c>
      <x:c r="I25" s="62" t="n">
        <x:f>I16+I21+I24</x:f>
        <x:v>613</x:v>
      </x:c>
      <x:c r="J25" s="62" t="n">
        <x:f>J16+J21+J24</x:f>
        <x:v>981</x:v>
      </x:c>
      <x:c r="K25" s="62" t="n">
        <x:f>K16+K21+K24</x:f>
        <x:v>1510</x:v>
      </x:c>
      <x:c r="L25" s="62" t="n">
        <x:f>L16+L21+L24</x:f>
        <x:v>2185</x:v>
      </x:c>
      <x:c r="M25" s="62" t="n">
        <x:f>M16+M21+M24</x:f>
        <x:v>3013</x:v>
      </x:c>
    </x:row>
    <x:row r="26">
      <x:c r="A26" s="45" t="str">
        <x:v>Новые платящие gross</x:v>
      </x:c>
      <x:c r="B26" s="62" t="n">
        <x:f>B7+B9+B11</x:f>
        <x:v>3</x:v>
      </x:c>
      <x:c r="C26" s="62" t="n">
        <x:f>C7+C9+C11</x:f>
        <x:v>5</x:v>
      </x:c>
      <x:c r="D26" s="62" t="n">
        <x:f>D7+D9+D11</x:f>
        <x:v>15</x:v>
      </x:c>
      <x:c r="E26" s="62" t="n">
        <x:f>E7+E9+E11</x:f>
        <x:v>28</x:v>
      </x:c>
      <x:c r="F26" s="62" t="n">
        <x:f>F7+F9+F11</x:f>
        <x:v>57</x:v>
      </x:c>
      <x:c r="G26" s="62" t="n">
        <x:f>G7+G9+G11</x:f>
        <x:v>109</x:v>
      </x:c>
      <x:c r="H26" s="62" t="n">
        <x:f>H7+H9+H11</x:f>
        <x:v>181</x:v>
      </x:c>
      <x:c r="I26" s="62" t="n">
        <x:f>I7+I9+I11</x:f>
        <x:v>299</x:v>
      </x:c>
      <x:c r="J26" s="62" t="n">
        <x:f>J7+J9+J11</x:f>
        <x:v>431</x:v>
      </x:c>
      <x:c r="K26" s="62" t="n">
        <x:f>K7+K9+K11</x:f>
        <x:v>629</x:v>
      </x:c>
      <x:c r="L26" s="62" t="n">
        <x:f>L7+L9+L11</x:f>
        <x:v>814</x:v>
      </x:c>
      <x:c r="M26" s="62" t="n">
        <x:f>M7+M9+M11</x:f>
        <x:v>1027</x:v>
      </x:c>
    </x:row>
    <x:row r="27">
      <x:c r="A27" s="45" t="str">
        <x:v>Churned paid users</x:v>
      </x:c>
      <x:c r="B27" s="62" t="n">
        <x:f>0</x:f>
        <x:v>0</x:v>
      </x:c>
      <x:c r="C27" s="62" t="n">
        <x:f>ROUND(B16*C12+B21*C17+B24*C22,0)</x:f>
        <x:v>0</x:v>
      </x:c>
      <x:c r="D27" s="62" t="n">
        <x:f>ROUND(C16*D12+C21*D17+C24*D22,0)</x:f>
        <x:v>1</x:v>
      </x:c>
      <x:c r="E27" s="62" t="n">
        <x:f>ROUND(D16*E12+D21*E17+D24*E22,0)</x:f>
        <x:v>3</x:v>
      </x:c>
      <x:c r="F27" s="62" t="n">
        <x:f>ROUND(E16*F12+E21*F17+E24*F22,0)</x:f>
        <x:v>6</x:v>
      </x:c>
      <x:c r="G27" s="62" t="n">
        <x:f>ROUND(F16*G12+F21*G17+F24*G22,0)</x:f>
        <x:v>12</x:v>
      </x:c>
      <x:c r="H27" s="62" t="n">
        <x:f>ROUND(G16*H12+G21*H17+G24*H22,0)</x:f>
        <x:v>22</x:v>
      </x:c>
      <x:c r="I27" s="62" t="n">
        <x:f>ROUND(H16*I12+H21*I17+H24*I22,0)</x:f>
        <x:v>38</x:v>
      </x:c>
      <x:c r="J27" s="62" t="n">
        <x:f>ROUND(I16*J12+I21*J17+I24*J22,0)</x:f>
        <x:v>63</x:v>
      </x:c>
      <x:c r="K27" s="62" t="n">
        <x:f>ROUND(J16*K12+J21*K17+J24*K22,0)</x:f>
        <x:v>100</x:v>
      </x:c>
      <x:c r="L27" s="62" t="n">
        <x:f>ROUND(K16*L12+K21*L17+K24*L22,0)</x:f>
        <x:v>138</x:v>
      </x:c>
      <x:c r="M27" s="62" t="n">
        <x:f>ROUND(L16*M12+L21*M17+L24*M22,0)</x:f>
        <x:v>200</x:v>
      </x:c>
    </x:row>
    <x:row r="28">
      <x:c r="A28" s="45" t="str">
        <x:v>Blended churn rate</x:v>
      </x:c>
      <x:c r="B28" s="63" t="n">
        <x:f>0</x:f>
        <x:v>0</x:v>
      </x:c>
      <x:c r="C28" s="63" t="n">
        <x:f>IFERROR(C27/B25,0)</x:f>
        <x:v>0</x:v>
      </x:c>
      <x:c r="D28" s="63" t="n">
        <x:f>IFERROR(D27/C25,0)</x:f>
        <x:v>0.125</x:v>
      </x:c>
      <x:c r="E28" s="63" t="n">
        <x:f>IFERROR(E27/D25,0)</x:f>
        <x:v>0.13636363636363635</x:v>
      </x:c>
      <x:c r="F28" s="63" t="n">
        <x:f>IFERROR(F27/E25,0)</x:f>
        <x:v>0.1276595744680851</x:v>
      </x:c>
      <x:c r="G28" s="63" t="n">
        <x:f>IFERROR(G27/F25,0)</x:f>
        <x:v>0.12244897959183673</x:v>
      </x:c>
      <x:c r="H28" s="63" t="n">
        <x:f>IFERROR(H27/G25,0)</x:f>
        <x:v>0.11282051282051282</x:v>
      </x:c>
      <x:c r="I28" s="63" t="n">
        <x:f>IFERROR(I27/H25,0)</x:f>
        <x:v>0.10764872521246459</x:v>
      </x:c>
      <x:c r="J28" s="63" t="n">
        <x:f>IFERROR(J27/I25,0)</x:f>
        <x:v>0.10277324632952692</x:v>
      </x:c>
      <x:c r="K28" s="63" t="n">
        <x:f>IFERROR(K27/J25,0)</x:f>
        <x:v>0.1019367991845056</x:v>
      </x:c>
      <x:c r="L28" s="63" t="n">
        <x:f>IFERROR(L27/K25,0)</x:f>
        <x:v>0.0913907284768212</x:v>
      </x:c>
      <x:c r="M28" s="63" t="n">
        <x:f>IFERROR(M27/L25,0)</x:f>
        <x:v>0.09153318077803203</x:v>
      </x:c>
    </x:row>
    <x:row r="29">
      <x:c r="A29" s="45" t="str">
        <x:v>Доля Starter</x:v>
      </x:c>
      <x:c r="B29" s="63" t="n">
        <x:f>IFERROR(B16/B25,0)</x:f>
        <x:v>0.6666666666666666</x:v>
      </x:c>
      <x:c r="C29" s="63" t="n">
        <x:f>IFERROR(C16/C25,0)</x:f>
        <x:v>0.75</x:v>
      </x:c>
      <x:c r="D29" s="63" t="n">
        <x:f>IFERROR(D16/D25,0)</x:f>
        <x:v>0.7272727272727273</x:v>
      </x:c>
      <x:c r="E29" s="63" t="n">
        <x:f>IFERROR(E16/E25,0)</x:f>
        <x:v>0.7021276595744681</x:v>
      </x:c>
      <x:c r="F29" s="63" t="n">
        <x:f>IFERROR(F16/F25,0)</x:f>
        <x:v>0.673469387755102</x:v>
      </x:c>
      <x:c r="G29" s="63" t="n">
        <x:f>IFERROR(G16/G25,0)</x:f>
        <x:v>0.6666666666666666</x:v>
      </x:c>
      <x:c r="H29" s="63" t="n">
        <x:f>IFERROR(H16/H25,0)</x:f>
        <x:v>0.660056657223796</x:v>
      </x:c>
      <x:c r="I29" s="63" t="n">
        <x:f>IFERROR(I16/I25,0)</x:f>
        <x:v>0.6541598694942904</x:v>
      </x:c>
      <x:c r="J29" s="63" t="n">
        <x:f>IFERROR(J16/J25,0)</x:f>
        <x:v>0.6442405708460754</x:v>
      </x:c>
      <x:c r="K29" s="63" t="n">
        <x:f>IFERROR(K16/K25,0)</x:f>
        <x:v>0.633112582781457</x:v>
      </x:c>
      <x:c r="L29" s="63" t="n">
        <x:f>IFERROR(L16/L25,0)</x:f>
        <x:v>0.6196796338672769</x:v>
      </x:c>
      <x:c r="M29" s="63" t="n">
        <x:f>IFERROR(M16/M25,0)</x:f>
        <x:v>0.6060404912047793</x:v>
      </x:c>
    </x:row>
    <x:row r="30">
      <x:c r="A30" s="45" t="str">
        <x:v>Доля Pro</x:v>
      </x:c>
      <x:c r="B30" s="63" t="n">
        <x:f>IFERROR(B21/B25,0)</x:f>
        <x:v>0.3333333333333333</x:v>
      </x:c>
      <x:c r="C30" s="63" t="n">
        <x:f>IFERROR(C21/C25,0)</x:f>
        <x:v>0.25</x:v>
      </x:c>
      <x:c r="D30" s="63" t="n">
        <x:f>IFERROR(D21/D25,0)</x:f>
        <x:v>0.2727272727272727</x:v>
      </x:c>
      <x:c r="E30" s="63" t="n">
        <x:f>IFERROR(E21/E25,0)</x:f>
        <x:v>0.2765957446808511</x:v>
      </x:c>
      <x:c r="F30" s="63" t="n">
        <x:f>IFERROR(F21/F25,0)</x:f>
        <x:v>0.29591836734693877</x:v>
      </x:c>
      <x:c r="G30" s="63" t="n">
        <x:f>IFERROR(G21/G25,0)</x:f>
        <x:v>0.29743589743589743</x:v>
      </x:c>
      <x:c r="H30" s="63" t="n">
        <x:f>IFERROR(H21/H25,0)</x:f>
        <x:v>0.3002832861189802</x:v>
      </x:c>
      <x:c r="I30" s="63" t="n">
        <x:f>IFERROR(I21/I25,0)</x:f>
        <x:v>0.3034257748776509</x:v>
      </x:c>
      <x:c r="J30" s="63" t="n">
        <x:f>IFERROR(J21/J25,0)</x:f>
        <x:v>0.3109072375127421</x:v>
      </x:c>
      <x:c r="K30" s="63" t="n">
        <x:f>IFERROR(K21/K25,0)</x:f>
        <x:v>0.31920529801324504</x:v>
      </x:c>
      <x:c r="L30" s="63" t="n">
        <x:f>IFERROR(L21/L25,0)</x:f>
        <x:v>0.32814645308924484</x:v>
      </x:c>
      <x:c r="M30" s="63" t="n">
        <x:f>IFERROR(M21/M25,0)</x:f>
        <x:v>0.33786923332227015</x:v>
      </x:c>
    </x:row>
    <x:row r="31">
      <x:c r="A31" s="45" t="str">
        <x:v>Доля MAX</x:v>
      </x:c>
      <x:c r="B31" s="63" t="n">
        <x:f>IFERROR(B24/B25,0)</x:f>
        <x:v>0</x:v>
      </x:c>
      <x:c r="C31" s="63" t="n">
        <x:f>IFERROR(C24/C25,0)</x:f>
        <x:v>0</x:v>
      </x:c>
      <x:c r="D31" s="63" t="n">
        <x:f>IFERROR(D24/D25,0)</x:f>
        <x:v>0</x:v>
      </x:c>
      <x:c r="E31" s="63" t="n">
        <x:f>IFERROR(E24/E25,0)</x:f>
        <x:v>0.02127659574468085</x:v>
      </x:c>
      <x:c r="F31" s="63" t="n">
        <x:f>IFERROR(F24/F25,0)</x:f>
        <x:v>0.030612244897959183</x:v>
      </x:c>
      <x:c r="G31" s="63" t="n">
        <x:f>IFERROR(G24/G25,0)</x:f>
        <x:v>0.035897435897435895</x:v>
      </x:c>
      <x:c r="H31" s="63" t="n">
        <x:f>IFERROR(H24/H25,0)</x:f>
        <x:v>0.039660056657223795</x:v>
      </x:c>
      <x:c r="I31" s="63" t="n">
        <x:f>IFERROR(I24/I25,0)</x:f>
        <x:v>0.04241435562805873</x:v>
      </x:c>
      <x:c r="J31" s="63" t="n">
        <x:f>IFERROR(J24/J25,0)</x:f>
        <x:v>0.04485219164118247</x:v>
      </x:c>
      <x:c r="K31" s="63" t="n">
        <x:f>IFERROR(K24/K25,0)</x:f>
        <x:v>0.04768211920529802</x:v>
      </x:c>
      <x:c r="L31" s="63" t="n">
        <x:f>IFERROR(L24/L25,0)</x:f>
        <x:v>0.05217391304347826</x:v>
      </x:c>
      <x:c r="M31" s="63" t="n">
        <x:f>IFERROR(M24/M25,0)</x:f>
        <x:v>0.05609027547295055</x:v>
      </x:c>
    </x:row>
    <x:row r="32">
      <x:c r="A32" s="42"/>
      <x:c r="B32" s="42"/>
      <x:c r="C32" s="42"/>
      <x:c r="D32" s="42"/>
      <x:c r="E32" s="42"/>
      <x:c r="F32" s="42"/>
      <x:c r="G32" s="42"/>
      <x:c r="H32" s="42"/>
      <x:c r="I32" s="42"/>
      <x:c r="J32" s="42"/>
      <x:c r="K32" s="42"/>
      <x:c r="L32" s="42"/>
      <x:c r="M32" s="42"/>
    </x:row>
    <x:row r="33">
      <x:c r="A33" s="42"/>
      <x:c r="B33" s="42"/>
      <x:c r="C33" s="42"/>
      <x:c r="D33" s="42"/>
      <x:c r="E33" s="42"/>
      <x:c r="F33" s="42"/>
      <x:c r="G33" s="42"/>
      <x:c r="H33" s="42"/>
      <x:c r="I33" s="42"/>
      <x:c r="J33" s="42"/>
      <x:c r="K33" s="42"/>
      <x:c r="L33" s="42"/>
      <x:c r="M33" s="42"/>
    </x:row>
    <x:row r="34">
      <x:c r="A34" s="42"/>
      <x:c r="B34" s="42"/>
      <x:c r="C34" s="42"/>
      <x:c r="D34" s="42"/>
      <x:c r="E34" s="42"/>
      <x:c r="F34" s="42"/>
      <x:c r="G34" s="42"/>
      <x:c r="H34" s="42"/>
      <x:c r="I34" s="42"/>
      <x:c r="J34" s="42"/>
      <x:c r="K34" s="42"/>
      <x:c r="L34" s="42"/>
      <x:c r="M34" s="42"/>
    </x:row>
    <x:row r="35">
      <x:c r="A35" s="42"/>
      <x:c r="B35" s="42"/>
      <x:c r="C35" s="42"/>
      <x:c r="D35" s="42"/>
      <x:c r="E35" s="42"/>
      <x:c r="F35" s="42"/>
      <x:c r="G35" s="42"/>
      <x:c r="H35" s="42"/>
      <x:c r="I35" s="42"/>
      <x:c r="J35" s="42"/>
      <x:c r="K35" s="42"/>
      <x:c r="L35" s="42"/>
      <x:c r="M35" s="42"/>
    </x:row>
    <x:row r="36">
      <x:c r="A36" s="42"/>
      <x:c r="B36" s="42"/>
      <x:c r="C36" s="42"/>
      <x:c r="D36" s="42"/>
      <x:c r="E36" s="42"/>
      <x:c r="F36" s="42"/>
      <x:c r="G36" s="42"/>
      <x:c r="H36" s="42"/>
      <x:c r="I36" s="42"/>
      <x:c r="J36" s="42"/>
      <x:c r="K36" s="42"/>
      <x:c r="L36" s="42"/>
      <x:c r="M36" s="42"/>
    </x:row>
    <x:row r="37">
      <x:c r="A37" s="42"/>
      <x:c r="B37" s="42"/>
      <x:c r="C37" s="42"/>
      <x:c r="D37" s="42"/>
      <x:c r="E37" s="42"/>
      <x:c r="F37" s="42"/>
      <x:c r="G37" s="42"/>
      <x:c r="H37" s="42"/>
      <x:c r="I37" s="42"/>
      <x:c r="J37" s="42"/>
      <x:c r="K37" s="42"/>
      <x:c r="L37" s="42"/>
      <x:c r="M37" s="42"/>
    </x:row>
    <x:row r="38">
      <x:c r="A38" s="42"/>
      <x:c r="B38" s="42"/>
      <x:c r="C38" s="42"/>
      <x:c r="D38" s="42"/>
      <x:c r="E38" s="42"/>
      <x:c r="F38" s="42"/>
      <x:c r="G38" s="42"/>
      <x:c r="H38" s="42"/>
      <x:c r="I38" s="42"/>
      <x:c r="J38" s="42"/>
      <x:c r="K38" s="42"/>
      <x:c r="L38" s="42"/>
      <x:c r="M38" s="42"/>
    </x:row>
    <x:row r="39">
      <x:c r="A39" s="42"/>
      <x:c r="B39" s="42"/>
      <x:c r="C39" s="42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</x:row>
    <x:row r="40">
      <x:c r="A40" s="42"/>
      <x:c r="B40" s="42"/>
      <x:c r="C40" s="42"/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</x:row>
    <x:row r="41">
      <x:c r="A41" s="42"/>
      <x:c r="B41" s="42"/>
      <x:c r="C41" s="42"/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</x:row>
    <x:row r="42">
      <x:c r="A42" s="42"/>
      <x:c r="B42" s="42"/>
      <x:c r="C42" s="42"/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</x:row>
    <x:row r="43">
      <x:c r="A43" s="42"/>
      <x:c r="B43" s="42"/>
      <x:c r="C43" s="42"/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</x:row>
    <x:row r="44">
      <x:c r="A44" s="42"/>
      <x:c r="B44" s="42"/>
      <x:c r="C44" s="42"/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</x:row>
    <x:row r="45">
      <x:c r="A45" s="42"/>
      <x:c r="B45" s="42"/>
      <x:c r="C45" s="42"/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</x:row>
    <x:row r="46">
      <x:c r="A46" s="42"/>
      <x:c r="B46" s="42"/>
      <x:c r="C46" s="42"/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</x:row>
    <x:row r="47">
      <x:c r="A47" s="42"/>
      <x:c r="B47" s="42"/>
      <x:c r="C47" s="42"/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</x:row>
    <x:row r="48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</x:row>
    <x:row r="49">
      <x:c r="A49" s="42"/>
      <x:c r="B49" s="42"/>
      <x:c r="C49" s="42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</x:row>
    <x:row r="50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</x:row>
    <x:row r="51">
      <x:c r="A51" s="42"/>
      <x:c r="B51" s="42"/>
      <x:c r="C51" s="42"/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</x:row>
    <x:row r="52">
      <x:c r="A52" s="42"/>
      <x:c r="B52" s="42"/>
      <x:c r="C52" s="42"/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</x:row>
    <x:row r="53">
      <x:c r="A53" s="42"/>
      <x:c r="B53" s="42"/>
      <x:c r="C53" s="42"/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</x:row>
    <x:row r="54">
      <x:c r="A54" s="42"/>
      <x:c r="B54" s="42"/>
      <x:c r="C54" s="42"/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</x:row>
    <x:row r="55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</x:row>
    <x:row r="56">
      <x:c r="A56" s="42"/>
      <x:c r="B56" s="42"/>
      <x:c r="C56" s="42"/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</x:row>
    <x:row r="57">
      <x:c r="A57" s="42"/>
      <x:c r="B57" s="42"/>
      <x:c r="C57" s="42"/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</x:row>
    <x:row r="58">
      <x:c r="A58" s="42"/>
      <x:c r="B58" s="42"/>
      <x:c r="C58" s="42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</x:row>
    <x:row r="59">
      <x:c r="A59" s="42"/>
      <x:c r="B59" s="42"/>
      <x:c r="C59" s="42"/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</x:row>
    <x:row r="60">
      <x:c r="A60" s="42"/>
      <x:c r="B60" s="42"/>
      <x:c r="C60" s="42"/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</x:row>
    <x:row r="61">
      <x:c r="A61" s="42"/>
      <x:c r="B61" s="42"/>
      <x:c r="C61" s="42"/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</x:row>
    <x:row r="62">
      <x:c r="A62" s="42"/>
      <x:c r="B62" s="42"/>
      <x:c r="C62" s="42"/>
      <x:c r="D62" s="42"/>
      <x:c r="E62" s="42"/>
      <x:c r="F62" s="42"/>
      <x:c r="G62" s="42"/>
      <x:c r="H62" s="42"/>
      <x:c r="I62" s="42"/>
      <x:c r="J62" s="42"/>
      <x:c r="K62" s="42"/>
      <x:c r="L62" s="42"/>
      <x:c r="M62" s="42"/>
    </x:row>
    <x:row r="63">
      <x:c r="A63" s="42"/>
      <x:c r="B63" s="42"/>
      <x:c r="C63" s="42"/>
      <x:c r="D63" s="42"/>
      <x:c r="E63" s="42"/>
      <x:c r="F63" s="42"/>
      <x:c r="G63" s="42"/>
      <x:c r="H63" s="42"/>
      <x:c r="I63" s="42"/>
      <x:c r="J63" s="42"/>
      <x:c r="K63" s="42"/>
      <x:c r="L63" s="42"/>
      <x:c r="M63" s="42"/>
    </x:row>
    <x:row r="64">
      <x:c r="A64" s="42"/>
      <x:c r="B64" s="42"/>
      <x:c r="C64" s="42"/>
      <x:c r="D64" s="42"/>
      <x:c r="E64" s="42"/>
      <x:c r="F64" s="42"/>
      <x:c r="G64" s="42"/>
      <x:c r="H64" s="42"/>
      <x:c r="I64" s="42"/>
      <x:c r="J64" s="42"/>
      <x:c r="K64" s="42"/>
      <x:c r="L64" s="42"/>
      <x:c r="M64" s="42"/>
    </x:row>
    <x:row r="65">
      <x:c r="A65" s="42"/>
      <x:c r="B65" s="42"/>
      <x:c r="C65" s="42"/>
      <x:c r="D65" s="42"/>
      <x:c r="E65" s="42"/>
      <x:c r="F65" s="42"/>
      <x:c r="G65" s="42"/>
      <x:c r="H65" s="42"/>
      <x:c r="I65" s="42"/>
      <x:c r="J65" s="42"/>
      <x:c r="K65" s="42"/>
      <x:c r="L65" s="42"/>
      <x:c r="M65" s="42"/>
    </x:row>
    <x:row r="66">
      <x:c r="A66" s="42"/>
      <x:c r="B66" s="42"/>
      <x:c r="C66" s="42"/>
      <x:c r="D66" s="42"/>
      <x:c r="E66" s="42"/>
      <x:c r="F66" s="42"/>
      <x:c r="G66" s="42"/>
      <x:c r="H66" s="42"/>
      <x:c r="I66" s="42"/>
      <x:c r="J66" s="42"/>
      <x:c r="K66" s="42"/>
      <x:c r="L66" s="42"/>
      <x:c r="M66" s="42"/>
    </x:row>
    <x:row r="67">
      <x:c r="A67" s="42"/>
      <x:c r="B67" s="42"/>
      <x:c r="C67" s="42"/>
      <x:c r="D67" s="42"/>
      <x:c r="E67" s="42"/>
      <x:c r="F67" s="42"/>
      <x:c r="G67" s="42"/>
      <x:c r="H67" s="42"/>
      <x:c r="I67" s="42"/>
      <x:c r="J67" s="42"/>
      <x:c r="K67" s="42"/>
      <x:c r="L67" s="42"/>
      <x:c r="M67" s="42"/>
    </x:row>
    <x:row r="68">
      <x:c r="A68" s="42"/>
      <x:c r="B68" s="42"/>
      <x:c r="C68" s="42"/>
      <x:c r="D68" s="42"/>
      <x:c r="E68" s="42"/>
      <x:c r="F68" s="42"/>
      <x:c r="G68" s="42"/>
      <x:c r="H68" s="42"/>
      <x:c r="I68" s="42"/>
      <x:c r="J68" s="42"/>
      <x:c r="K68" s="42"/>
      <x:c r="L68" s="42"/>
      <x:c r="M68" s="42"/>
    </x:row>
    <x:row r="69">
      <x:c r="A69" s="42"/>
      <x:c r="B69" s="42"/>
      <x:c r="C69" s="42"/>
      <x:c r="D69" s="42"/>
      <x:c r="E69" s="42"/>
      <x:c r="F69" s="42"/>
      <x:c r="G69" s="42"/>
      <x:c r="H69" s="42"/>
      <x:c r="I69" s="42"/>
      <x:c r="J69" s="42"/>
      <x:c r="K69" s="42"/>
      <x:c r="L69" s="42"/>
      <x:c r="M69" s="42"/>
    </x:row>
    <x:row r="70">
      <x:c r="A70" s="42"/>
      <x:c r="B70" s="42"/>
      <x:c r="C70" s="42"/>
      <x:c r="D70" s="42"/>
      <x:c r="E70" s="42"/>
      <x:c r="F70" s="42"/>
      <x:c r="G70" s="42"/>
      <x:c r="H70" s="42"/>
      <x:c r="I70" s="42"/>
      <x:c r="J70" s="42"/>
      <x:c r="K70" s="42"/>
      <x:c r="L70" s="42"/>
      <x:c r="M70" s="42"/>
    </x:row>
    <x:row r="71">
      <x:c r="A71" s="42"/>
      <x:c r="B71" s="42"/>
      <x:c r="C71" s="42"/>
      <x:c r="D71" s="42"/>
      <x:c r="E71" s="42"/>
      <x:c r="F71" s="42"/>
      <x:c r="G71" s="42"/>
      <x:c r="H71" s="42"/>
      <x:c r="I71" s="42"/>
      <x:c r="J71" s="42"/>
      <x:c r="K71" s="42"/>
      <x:c r="L71" s="42"/>
      <x:c r="M71" s="42"/>
    </x:row>
    <x:row r="72">
      <x:c r="A72" s="42"/>
      <x:c r="B72" s="42"/>
      <x:c r="C72" s="42"/>
      <x:c r="D72" s="42"/>
      <x:c r="E72" s="42"/>
      <x:c r="F72" s="42"/>
      <x:c r="G72" s="42"/>
      <x:c r="H72" s="42"/>
      <x:c r="I72" s="42"/>
      <x:c r="J72" s="42"/>
      <x:c r="K72" s="42"/>
      <x:c r="L72" s="42"/>
      <x:c r="M72" s="42"/>
    </x:row>
    <x:row r="73">
      <x:c r="A73" s="42"/>
      <x:c r="B73" s="42"/>
      <x:c r="C73" s="42"/>
      <x:c r="D73" s="42"/>
      <x:c r="E73" s="42"/>
      <x:c r="F73" s="42"/>
      <x:c r="G73" s="42"/>
      <x:c r="H73" s="42"/>
      <x:c r="I73" s="42"/>
      <x:c r="J73" s="42"/>
      <x:c r="K73" s="42"/>
      <x:c r="L73" s="42"/>
      <x:c r="M73" s="42"/>
    </x:row>
    <x:row r="74">
      <x:c r="A74" s="42"/>
      <x:c r="B74" s="42"/>
      <x:c r="C74" s="42"/>
      <x:c r="D74" s="42"/>
      <x:c r="E74" s="42"/>
      <x:c r="F74" s="42"/>
      <x:c r="G74" s="42"/>
      <x:c r="H74" s="42"/>
      <x:c r="I74" s="42"/>
      <x:c r="J74" s="42"/>
      <x:c r="K74" s="42"/>
      <x:c r="L74" s="42"/>
      <x:c r="M74" s="42"/>
    </x:row>
    <x:row r="75">
      <x:c r="A75" s="42"/>
      <x:c r="B75" s="42"/>
      <x:c r="C75" s="42"/>
      <x:c r="D75" s="42"/>
      <x:c r="E75" s="42"/>
      <x:c r="F75" s="42"/>
      <x:c r="G75" s="42"/>
      <x:c r="H75" s="42"/>
      <x:c r="I75" s="42"/>
      <x:c r="J75" s="42"/>
      <x:c r="K75" s="42"/>
      <x:c r="L75" s="42"/>
      <x:c r="M75" s="42"/>
    </x:row>
    <x:row r="76">
      <x:c r="A76" s="42"/>
      <x:c r="B76" s="42"/>
      <x:c r="C76" s="42"/>
      <x:c r="D76" s="42"/>
      <x:c r="E76" s="42"/>
      <x:c r="F76" s="42"/>
      <x:c r="G76" s="42"/>
      <x:c r="H76" s="42"/>
      <x:c r="I76" s="42"/>
      <x:c r="J76" s="42"/>
      <x:c r="K76" s="42"/>
      <x:c r="L76" s="42"/>
      <x:c r="M76" s="42"/>
    </x:row>
    <x:row r="77">
      <x:c r="A77" s="42"/>
      <x:c r="B77" s="42"/>
      <x:c r="C77" s="42"/>
      <x:c r="D77" s="42"/>
      <x:c r="E77" s="42"/>
      <x:c r="F77" s="42"/>
      <x:c r="G77" s="42"/>
      <x:c r="H77" s="42"/>
      <x:c r="I77" s="42"/>
      <x:c r="J77" s="42"/>
      <x:c r="K77" s="42"/>
      <x:c r="L77" s="42"/>
      <x:c r="M77" s="42"/>
    </x:row>
    <x:row r="78">
      <x:c r="A78" s="42"/>
      <x:c r="B78" s="42"/>
      <x:c r="C78" s="42"/>
      <x:c r="D78" s="42"/>
      <x:c r="E78" s="42"/>
      <x:c r="F78" s="42"/>
      <x:c r="G78" s="42"/>
      <x:c r="H78" s="42"/>
      <x:c r="I78" s="42"/>
      <x:c r="J78" s="42"/>
      <x:c r="K78" s="42"/>
      <x:c r="L78" s="42"/>
      <x:c r="M78" s="42"/>
    </x:row>
    <x:row r="79">
      <x:c r="A79" s="42"/>
      <x:c r="B79" s="42"/>
      <x:c r="C79" s="42"/>
      <x:c r="D79" s="42"/>
      <x:c r="E79" s="42"/>
      <x:c r="F79" s="42"/>
      <x:c r="G79" s="42"/>
      <x:c r="H79" s="42"/>
      <x:c r="I79" s="42"/>
      <x:c r="J79" s="42"/>
      <x:c r="K79" s="42"/>
      <x:c r="L79" s="42"/>
      <x:c r="M79" s="42"/>
    </x:row>
    <x:row r="80">
      <x:c r="A80" s="42"/>
      <x:c r="B80" s="42"/>
      <x:c r="C80" s="42"/>
      <x:c r="D80" s="42"/>
      <x:c r="E80" s="42"/>
      <x:c r="F80" s="42"/>
      <x:c r="G80" s="42"/>
      <x:c r="H80" s="42"/>
      <x:c r="I80" s="42"/>
      <x:c r="J80" s="42"/>
      <x:c r="K80" s="42"/>
      <x:c r="L80" s="42"/>
      <x:c r="M80" s="42"/>
    </x:row>
    <x:row r="81">
      <x:c r="A81" s="42"/>
      <x:c r="B81" s="42"/>
      <x:c r="C81" s="42"/>
      <x:c r="D81" s="42"/>
      <x:c r="E81" s="42"/>
      <x:c r="F81" s="42"/>
      <x:c r="G81" s="42"/>
      <x:c r="H81" s="42"/>
      <x:c r="I81" s="42"/>
      <x:c r="J81" s="42"/>
      <x:c r="K81" s="42"/>
      <x:c r="L81" s="42"/>
      <x:c r="M81" s="42"/>
    </x:row>
    <x:row r="82">
      <x:c r="A82" s="42"/>
      <x:c r="B82" s="42"/>
      <x:c r="C82" s="42"/>
      <x:c r="D82" s="42"/>
      <x:c r="E82" s="42"/>
      <x:c r="F82" s="42"/>
      <x:c r="G82" s="42"/>
      <x:c r="H82" s="42"/>
      <x:c r="I82" s="42"/>
      <x:c r="J82" s="42"/>
      <x:c r="K82" s="42"/>
      <x:c r="L82" s="42"/>
      <x:c r="M82" s="42"/>
    </x:row>
    <x:row r="83">
      <x:c r="A83" s="42"/>
      <x:c r="B83" s="42"/>
      <x:c r="C83" s="42"/>
      <x:c r="D83" s="42"/>
      <x:c r="E83" s="42"/>
      <x:c r="F83" s="42"/>
      <x:c r="G83" s="42"/>
      <x:c r="H83" s="42"/>
      <x:c r="I83" s="42"/>
      <x:c r="J83" s="42"/>
      <x:c r="K83" s="42"/>
      <x:c r="L83" s="42"/>
      <x:c r="M83" s="42"/>
    </x:row>
    <x:row r="84">
      <x:c r="A84" s="42"/>
      <x:c r="B84" s="42"/>
      <x:c r="C84" s="42"/>
      <x:c r="D84" s="42"/>
      <x:c r="E84" s="42"/>
      <x:c r="F84" s="42"/>
      <x:c r="G84" s="42"/>
      <x:c r="H84" s="42"/>
      <x:c r="I84" s="42"/>
      <x:c r="J84" s="42"/>
      <x:c r="K84" s="42"/>
      <x:c r="L84" s="42"/>
      <x:c r="M84" s="42"/>
    </x:row>
    <x:row r="85">
      <x:c r="A85" s="42"/>
      <x:c r="B85" s="42"/>
      <x:c r="C85" s="42"/>
      <x:c r="D85" s="42"/>
      <x:c r="E85" s="42"/>
      <x:c r="F85" s="42"/>
      <x:c r="G85" s="42"/>
      <x:c r="H85" s="42"/>
      <x:c r="I85" s="42"/>
      <x:c r="J85" s="42"/>
      <x:c r="K85" s="42"/>
      <x:c r="L85" s="42"/>
      <x:c r="M85" s="42"/>
    </x:row>
    <x:row r="86">
      <x:c r="A86" s="42"/>
      <x:c r="B86" s="42"/>
      <x:c r="C86" s="42"/>
      <x:c r="D86" s="42"/>
      <x:c r="E86" s="42"/>
      <x:c r="F86" s="42"/>
      <x:c r="G86" s="42"/>
      <x:c r="H86" s="42"/>
      <x:c r="I86" s="42"/>
      <x:c r="J86" s="42"/>
      <x:c r="K86" s="42"/>
      <x:c r="L86" s="42"/>
      <x:c r="M86" s="42"/>
    </x:row>
    <x:row r="87">
      <x:c r="A87" s="42"/>
      <x:c r="B87" s="42"/>
      <x:c r="C87" s="42"/>
      <x:c r="D87" s="42"/>
      <x:c r="E87" s="42"/>
      <x:c r="F87" s="42"/>
      <x:c r="G87" s="42"/>
      <x:c r="H87" s="42"/>
      <x:c r="I87" s="42"/>
      <x:c r="J87" s="42"/>
      <x:c r="K87" s="42"/>
      <x:c r="L87" s="42"/>
      <x:c r="M87" s="42"/>
    </x:row>
    <x:row r="88">
      <x:c r="A88" s="42"/>
      <x:c r="B88" s="42"/>
      <x:c r="C88" s="42"/>
      <x:c r="D88" s="42"/>
      <x:c r="E88" s="42"/>
      <x:c r="F88" s="42"/>
      <x:c r="G88" s="42"/>
      <x:c r="H88" s="42"/>
      <x:c r="I88" s="42"/>
      <x:c r="J88" s="42"/>
      <x:c r="K88" s="42"/>
      <x:c r="L88" s="42"/>
      <x:c r="M88" s="42"/>
    </x:row>
    <x:row r="89">
      <x:c r="A89" s="42"/>
      <x:c r="B89" s="42"/>
      <x:c r="C89" s="42"/>
      <x:c r="D89" s="42"/>
      <x:c r="E89" s="42"/>
      <x:c r="F89" s="42"/>
      <x:c r="G89" s="42"/>
      <x:c r="H89" s="42"/>
      <x:c r="I89" s="42"/>
      <x:c r="J89" s="42"/>
      <x:c r="K89" s="42"/>
      <x:c r="L89" s="42"/>
      <x:c r="M89" s="42"/>
    </x:row>
    <x:row r="90">
      <x:c r="A90" s="42"/>
      <x:c r="B90" s="42"/>
      <x:c r="C90" s="42"/>
      <x:c r="D90" s="42"/>
      <x:c r="E90" s="42"/>
      <x:c r="F90" s="42"/>
      <x:c r="G90" s="42"/>
      <x:c r="H90" s="42"/>
      <x:c r="I90" s="42"/>
      <x:c r="J90" s="42"/>
      <x:c r="K90" s="42"/>
      <x:c r="L90" s="42"/>
      <x:c r="M90" s="42"/>
    </x:row>
    <x:row r="91">
      <x:c r="A91" s="42"/>
      <x:c r="B91" s="42"/>
      <x:c r="C91" s="42"/>
      <x:c r="D91" s="42"/>
      <x:c r="E91" s="42"/>
      <x:c r="F91" s="42"/>
      <x:c r="G91" s="42"/>
      <x:c r="H91" s="42"/>
      <x:c r="I91" s="42"/>
      <x:c r="J91" s="42"/>
      <x:c r="K91" s="42"/>
      <x:c r="L91" s="42"/>
      <x:c r="M91" s="42"/>
    </x:row>
    <x:row r="92">
      <x:c r="A92" s="42"/>
      <x:c r="B92" s="42"/>
      <x:c r="C92" s="42"/>
      <x:c r="D92" s="42"/>
      <x:c r="E92" s="42"/>
      <x:c r="F92" s="42"/>
      <x:c r="G92" s="42"/>
      <x:c r="H92" s="42"/>
      <x:c r="I92" s="42"/>
      <x:c r="J92" s="42"/>
      <x:c r="K92" s="42"/>
      <x:c r="L92" s="42"/>
      <x:c r="M92" s="42"/>
    </x:row>
    <x:row r="93">
      <x:c r="A93" s="42"/>
      <x:c r="B93" s="42"/>
      <x:c r="C93" s="42"/>
      <x:c r="D93" s="42"/>
      <x:c r="E93" s="42"/>
      <x:c r="F93" s="42"/>
      <x:c r="G93" s="42"/>
      <x:c r="H93" s="42"/>
      <x:c r="I93" s="42"/>
      <x:c r="J93" s="42"/>
      <x:c r="K93" s="42"/>
      <x:c r="L93" s="42"/>
      <x:c r="M93" s="42"/>
    </x:row>
    <x:row r="94">
      <x:c r="A94" s="42"/>
      <x:c r="B94" s="42"/>
      <x:c r="C94" s="42"/>
      <x:c r="D94" s="42"/>
      <x:c r="E94" s="42"/>
      <x:c r="F94" s="42"/>
      <x:c r="G94" s="42"/>
      <x:c r="H94" s="42"/>
      <x:c r="I94" s="42"/>
      <x:c r="J94" s="42"/>
      <x:c r="K94" s="42"/>
      <x:c r="L94" s="42"/>
      <x:c r="M94" s="42"/>
    </x:row>
    <x:row r="95">
      <x:c r="A95" s="42"/>
      <x:c r="B95" s="42"/>
      <x:c r="C95" s="42"/>
      <x:c r="D95" s="42"/>
      <x:c r="E95" s="42"/>
      <x:c r="F95" s="42"/>
      <x:c r="G95" s="42"/>
      <x:c r="H95" s="42"/>
      <x:c r="I95" s="42"/>
      <x:c r="J95" s="42"/>
      <x:c r="K95" s="42"/>
      <x:c r="L95" s="42"/>
      <x:c r="M95" s="42"/>
    </x:row>
    <x:row r="96">
      <x:c r="A96" s="42"/>
      <x:c r="B96" s="42"/>
      <x:c r="C96" s="42"/>
      <x:c r="D96" s="42"/>
      <x:c r="E96" s="42"/>
      <x:c r="F96" s="42"/>
      <x:c r="G96" s="42"/>
      <x:c r="H96" s="42"/>
      <x:c r="I96" s="42"/>
      <x:c r="J96" s="42"/>
      <x:c r="K96" s="42"/>
      <x:c r="L96" s="42"/>
      <x:c r="M96" s="42"/>
    </x:row>
    <x:row r="97">
      <x:c r="A97" s="42"/>
      <x:c r="B97" s="42"/>
      <x:c r="C97" s="42"/>
      <x:c r="D97" s="42"/>
      <x:c r="E97" s="42"/>
      <x:c r="F97" s="42"/>
      <x:c r="G97" s="42"/>
      <x:c r="H97" s="42"/>
      <x:c r="I97" s="42"/>
      <x:c r="J97" s="42"/>
      <x:c r="K97" s="42"/>
      <x:c r="L97" s="42"/>
      <x:c r="M97" s="42"/>
    </x:row>
    <x:row r="98">
      <x:c r="A98" s="42"/>
      <x:c r="B98" s="42"/>
      <x:c r="C98" s="42"/>
      <x:c r="D98" s="42"/>
      <x:c r="E98" s="42"/>
      <x:c r="F98" s="42"/>
      <x:c r="G98" s="42"/>
      <x:c r="H98" s="42"/>
      <x:c r="I98" s="42"/>
      <x:c r="J98" s="42"/>
      <x:c r="K98" s="42"/>
      <x:c r="L98" s="42"/>
      <x:c r="M98" s="42"/>
    </x:row>
    <x:row r="99">
      <x:c r="A99" s="42"/>
      <x:c r="B99" s="42"/>
      <x:c r="C99" s="42"/>
      <x:c r="D99" s="42"/>
      <x:c r="E99" s="42"/>
      <x:c r="F99" s="42"/>
      <x:c r="G99" s="42"/>
      <x:c r="H99" s="42"/>
      <x:c r="I99" s="42"/>
      <x:c r="J99" s="42"/>
      <x:c r="K99" s="42"/>
      <x:c r="L99" s="42"/>
      <x:c r="M99" s="42"/>
    </x:row>
    <x:row r="100">
      <x:c r="A100" s="42"/>
      <x:c r="B100" s="42"/>
      <x:c r="C100" s="42"/>
      <x:c r="D100" s="42"/>
      <x:c r="E100" s="42"/>
      <x:c r="F100" s="42"/>
      <x:c r="G100" s="42"/>
      <x:c r="H100" s="42"/>
      <x:c r="I100" s="42"/>
      <x:c r="J100" s="42"/>
      <x:c r="K100" s="42"/>
      <x:c r="L100" s="42"/>
      <x:c r="M100" s="42"/>
    </x:row>
    <x:row r="101">
      <x:c r="A101" s="42"/>
      <x:c r="B101" s="42"/>
      <x:c r="C101" s="42"/>
      <x:c r="D101" s="42"/>
      <x:c r="E101" s="42"/>
      <x:c r="F101" s="42"/>
      <x:c r="G101" s="42"/>
      <x:c r="H101" s="42"/>
      <x:c r="I101" s="42"/>
      <x:c r="J101" s="42"/>
      <x:c r="K101" s="42"/>
      <x:c r="L101" s="42"/>
      <x:c r="M101" s="42"/>
    </x:row>
    <x:row r="102">
      <x:c r="A102" s="42"/>
      <x:c r="B102" s="42"/>
      <x:c r="C102" s="42"/>
      <x:c r="D102" s="42"/>
      <x:c r="E102" s="42"/>
      <x:c r="F102" s="42"/>
      <x:c r="G102" s="42"/>
      <x:c r="H102" s="42"/>
      <x:c r="I102" s="42"/>
      <x:c r="J102" s="42"/>
      <x:c r="K102" s="42"/>
      <x:c r="L102" s="42"/>
      <x:c r="M102" s="42"/>
    </x:row>
    <x:row r="103">
      <x:c r="A103" s="42"/>
      <x:c r="B103" s="42"/>
      <x:c r="C103" s="42"/>
      <x:c r="D103" s="42"/>
      <x:c r="E103" s="42"/>
      <x:c r="F103" s="42"/>
      <x:c r="G103" s="42"/>
      <x:c r="H103" s="42"/>
      <x:c r="I103" s="42"/>
      <x:c r="J103" s="42"/>
      <x:c r="K103" s="42"/>
      <x:c r="L103" s="42"/>
      <x:c r="M103" s="42"/>
    </x:row>
    <x:row r="104">
      <x:c r="A104" s="42"/>
      <x:c r="B104" s="42"/>
      <x:c r="C104" s="42"/>
      <x:c r="D104" s="42"/>
      <x:c r="E104" s="42"/>
      <x:c r="F104" s="42"/>
      <x:c r="G104" s="42"/>
      <x:c r="H104" s="42"/>
      <x:c r="I104" s="42"/>
      <x:c r="J104" s="42"/>
      <x:c r="K104" s="42"/>
      <x:c r="L104" s="42"/>
      <x:c r="M104" s="42"/>
    </x:row>
    <x:row r="105">
      <x:c r="A105" s="42"/>
      <x:c r="B105" s="42"/>
      <x:c r="C105" s="42"/>
      <x:c r="D105" s="42"/>
      <x:c r="E105" s="42"/>
      <x:c r="F105" s="42"/>
      <x:c r="G105" s="42"/>
      <x:c r="H105" s="42"/>
      <x:c r="I105" s="42"/>
      <x:c r="J105" s="42"/>
      <x:c r="K105" s="42"/>
      <x:c r="L105" s="42"/>
      <x:c r="M105" s="42"/>
    </x:row>
    <x:row r="106">
      <x:c r="A106" s="42"/>
      <x:c r="B106" s="42"/>
      <x:c r="C106" s="42"/>
      <x:c r="D106" s="42"/>
      <x:c r="E106" s="42"/>
      <x:c r="F106" s="42"/>
      <x:c r="G106" s="42"/>
      <x:c r="H106" s="42"/>
      <x:c r="I106" s="42"/>
      <x:c r="J106" s="42"/>
      <x:c r="K106" s="42"/>
      <x:c r="L106" s="42"/>
      <x:c r="M106" s="42"/>
    </x:row>
    <x:row r="107">
      <x:c r="A107" s="42"/>
      <x:c r="B107" s="42"/>
      <x:c r="C107" s="42"/>
      <x:c r="D107" s="42"/>
      <x:c r="E107" s="42"/>
      <x:c r="F107" s="42"/>
      <x:c r="G107" s="42"/>
      <x:c r="H107" s="42"/>
      <x:c r="I107" s="42"/>
      <x:c r="J107" s="42"/>
      <x:c r="K107" s="42"/>
      <x:c r="L107" s="42"/>
      <x:c r="M107" s="42"/>
    </x:row>
    <x:row r="108">
      <x:c r="A108" s="42"/>
      <x:c r="B108" s="42"/>
      <x:c r="C108" s="42"/>
      <x:c r="D108" s="42"/>
      <x:c r="E108" s="42"/>
      <x:c r="F108" s="42"/>
      <x:c r="G108" s="42"/>
      <x:c r="H108" s="42"/>
      <x:c r="I108" s="42"/>
      <x:c r="J108" s="42"/>
      <x:c r="K108" s="42"/>
      <x:c r="L108" s="42"/>
      <x:c r="M108" s="42"/>
    </x:row>
    <x:row r="109">
      <x:c r="A109" s="42"/>
      <x:c r="B109" s="42"/>
      <x:c r="C109" s="42"/>
      <x:c r="D109" s="42"/>
      <x:c r="E109" s="42"/>
      <x:c r="F109" s="42"/>
      <x:c r="G109" s="42"/>
      <x:c r="H109" s="42"/>
      <x:c r="I109" s="42"/>
      <x:c r="J109" s="42"/>
      <x:c r="K109" s="42"/>
      <x:c r="L109" s="42"/>
      <x:c r="M109" s="42"/>
    </x:row>
    <x:row r="110">
      <x:c r="A110" s="42"/>
      <x:c r="B110" s="42"/>
      <x:c r="C110" s="42"/>
      <x:c r="D110" s="42"/>
      <x:c r="E110" s="42"/>
      <x:c r="F110" s="42"/>
      <x:c r="G110" s="42"/>
      <x:c r="H110" s="42"/>
      <x:c r="I110" s="42"/>
      <x:c r="J110" s="42"/>
      <x:c r="K110" s="42"/>
      <x:c r="L110" s="42"/>
      <x:c r="M110" s="42"/>
    </x:row>
    <x:row r="111">
      <x:c r="A111" s="42"/>
      <x:c r="B111" s="42"/>
      <x:c r="C111" s="42"/>
      <x:c r="D111" s="42"/>
      <x:c r="E111" s="42"/>
      <x:c r="F111" s="42"/>
      <x:c r="G111" s="42"/>
      <x:c r="H111" s="42"/>
      <x:c r="I111" s="42"/>
      <x:c r="J111" s="42"/>
      <x:c r="K111" s="42"/>
      <x:c r="L111" s="42"/>
      <x:c r="M111" s="42"/>
    </x:row>
    <x:row r="112">
      <x:c r="A112" s="42"/>
      <x:c r="B112" s="42"/>
      <x:c r="C112" s="42"/>
      <x:c r="D112" s="42"/>
      <x:c r="E112" s="42"/>
      <x:c r="F112" s="42"/>
      <x:c r="G112" s="42"/>
      <x:c r="H112" s="42"/>
      <x:c r="I112" s="42"/>
      <x:c r="J112" s="42"/>
      <x:c r="K112" s="42"/>
      <x:c r="L112" s="42"/>
      <x:c r="M112" s="42"/>
    </x:row>
    <x:row r="113">
      <x:c r="A113" s="42"/>
      <x:c r="B113" s="42"/>
      <x:c r="C113" s="42"/>
      <x:c r="D113" s="42"/>
      <x:c r="E113" s="42"/>
      <x:c r="F113" s="42"/>
      <x:c r="G113" s="42"/>
      <x:c r="H113" s="42"/>
      <x:c r="I113" s="42"/>
      <x:c r="J113" s="42"/>
      <x:c r="K113" s="42"/>
      <x:c r="L113" s="42"/>
      <x:c r="M113" s="42"/>
    </x:row>
    <x:row r="114">
      <x:c r="A114" s="42"/>
      <x:c r="B114" s="42"/>
      <x:c r="C114" s="42"/>
      <x:c r="D114" s="42"/>
      <x:c r="E114" s="42"/>
      <x:c r="F114" s="42"/>
      <x:c r="G114" s="42"/>
      <x:c r="H114" s="42"/>
      <x:c r="I114" s="42"/>
      <x:c r="J114" s="42"/>
      <x:c r="K114" s="42"/>
      <x:c r="L114" s="42"/>
      <x:c r="M114" s="42"/>
    </x:row>
    <x:row r="115">
      <x:c r="A115" s="42"/>
      <x:c r="B115" s="42"/>
      <x:c r="C115" s="42"/>
      <x:c r="D115" s="42"/>
      <x:c r="E115" s="42"/>
      <x:c r="F115" s="42"/>
      <x:c r="G115" s="42"/>
      <x:c r="H115" s="42"/>
      <x:c r="I115" s="42"/>
      <x:c r="J115" s="42"/>
      <x:c r="K115" s="42"/>
      <x:c r="L115" s="42"/>
      <x:c r="M115" s="42"/>
    </x:row>
    <x:row r="116">
      <x:c r="A116" s="42"/>
      <x:c r="B116" s="42"/>
      <x:c r="C116" s="42"/>
      <x:c r="D116" s="42"/>
      <x:c r="E116" s="42"/>
      <x:c r="F116" s="42"/>
      <x:c r="G116" s="42"/>
      <x:c r="H116" s="42"/>
      <x:c r="I116" s="42"/>
      <x:c r="J116" s="42"/>
      <x:c r="K116" s="42"/>
      <x:c r="L116" s="42"/>
      <x:c r="M116" s="42"/>
    </x:row>
    <x:row r="117">
      <x:c r="A117" s="42"/>
      <x:c r="B117" s="42"/>
      <x:c r="C117" s="42"/>
      <x:c r="D117" s="42"/>
      <x:c r="E117" s="42"/>
      <x:c r="F117" s="42"/>
      <x:c r="G117" s="42"/>
      <x:c r="H117" s="42"/>
      <x:c r="I117" s="42"/>
      <x:c r="J117" s="42"/>
      <x:c r="K117" s="42"/>
      <x:c r="L117" s="42"/>
      <x:c r="M117" s="42"/>
    </x:row>
    <x:row r="118">
      <x:c r="A118" s="42"/>
      <x:c r="B118" s="42"/>
      <x:c r="C118" s="42"/>
      <x:c r="D118" s="42"/>
      <x:c r="E118" s="42"/>
      <x:c r="F118" s="42"/>
      <x:c r="G118" s="42"/>
      <x:c r="H118" s="42"/>
      <x:c r="I118" s="42"/>
      <x:c r="J118" s="42"/>
      <x:c r="K118" s="42"/>
      <x:c r="L118" s="42"/>
      <x:c r="M118" s="42"/>
    </x:row>
    <x:row r="119">
      <x:c r="A119" s="42"/>
      <x:c r="B119" s="42"/>
      <x:c r="C119" s="42"/>
      <x:c r="D119" s="42"/>
      <x:c r="E119" s="42"/>
      <x:c r="F119" s="42"/>
      <x:c r="G119" s="42"/>
      <x:c r="H119" s="42"/>
      <x:c r="I119" s="42"/>
      <x:c r="J119" s="42"/>
      <x:c r="K119" s="42"/>
      <x:c r="L119" s="42"/>
      <x:c r="M119" s="42"/>
    </x:row>
    <x:row r="120">
      <x:c r="A120" s="42"/>
      <x:c r="B120" s="42"/>
      <x:c r="C120" s="42"/>
      <x:c r="D120" s="42"/>
      <x:c r="E120" s="42"/>
      <x:c r="F120" s="42"/>
      <x:c r="G120" s="42"/>
      <x:c r="H120" s="42"/>
      <x:c r="I120" s="42"/>
      <x:c r="J120" s="42"/>
      <x:c r="K120" s="42"/>
      <x:c r="L120" s="42"/>
      <x:c r="M120" s="42"/>
    </x:row>
    <x:row r="121">
      <x:c r="A121" s="42"/>
      <x:c r="B121" s="42"/>
      <x:c r="C121" s="42"/>
      <x:c r="D121" s="42"/>
      <x:c r="E121" s="42"/>
      <x:c r="F121" s="42"/>
      <x:c r="G121" s="42"/>
      <x:c r="H121" s="42"/>
      <x:c r="I121" s="42"/>
      <x:c r="J121" s="42"/>
      <x:c r="K121" s="42"/>
      <x:c r="L121" s="42"/>
      <x:c r="M121" s="42"/>
    </x:row>
    <x:row r="122">
      <x:c r="A122" s="42"/>
      <x:c r="B122" s="42"/>
      <x:c r="C122" s="42"/>
      <x:c r="D122" s="42"/>
      <x:c r="E122" s="42"/>
      <x:c r="F122" s="42"/>
      <x:c r="G122" s="42"/>
      <x:c r="H122" s="42"/>
      <x:c r="I122" s="42"/>
      <x:c r="J122" s="42"/>
      <x:c r="K122" s="42"/>
      <x:c r="L122" s="42"/>
      <x:c r="M122" s="42"/>
    </x:row>
    <x:row r="123">
      <x:c r="A123" s="42"/>
      <x:c r="B123" s="42"/>
      <x:c r="C123" s="42"/>
      <x:c r="D123" s="42"/>
      <x:c r="E123" s="42"/>
      <x:c r="F123" s="42"/>
      <x:c r="G123" s="42"/>
      <x:c r="H123" s="42"/>
      <x:c r="I123" s="42"/>
      <x:c r="J123" s="42"/>
      <x:c r="K123" s="42"/>
      <x:c r="L123" s="42"/>
      <x:c r="M123" s="42"/>
    </x:row>
    <x:row r="124">
      <x:c r="A124" s="42"/>
      <x:c r="B124" s="42"/>
      <x:c r="C124" s="42"/>
      <x:c r="D124" s="42"/>
      <x:c r="E124" s="42"/>
      <x:c r="F124" s="42"/>
      <x:c r="G124" s="42"/>
      <x:c r="H124" s="42"/>
      <x:c r="I124" s="42"/>
      <x:c r="J124" s="42"/>
      <x:c r="K124" s="42"/>
      <x:c r="L124" s="42"/>
      <x:c r="M124" s="42"/>
    </x:row>
    <x:row r="125">
      <x:c r="A125" s="42"/>
      <x:c r="B125" s="42"/>
      <x:c r="C125" s="42"/>
      <x:c r="D125" s="42"/>
      <x:c r="E125" s="42"/>
      <x:c r="F125" s="42"/>
      <x:c r="G125" s="42"/>
      <x:c r="H125" s="42"/>
      <x:c r="I125" s="42"/>
      <x:c r="J125" s="42"/>
      <x:c r="K125" s="42"/>
      <x:c r="L125" s="42"/>
      <x:c r="M125" s="42"/>
    </x:row>
    <x:row r="126">
      <x:c r="A126" s="42"/>
      <x:c r="B126" s="42"/>
      <x:c r="C126" s="42"/>
      <x:c r="D126" s="42"/>
      <x:c r="E126" s="42"/>
      <x:c r="F126" s="42"/>
      <x:c r="G126" s="42"/>
      <x:c r="H126" s="42"/>
      <x:c r="I126" s="42"/>
      <x:c r="J126" s="42"/>
      <x:c r="K126" s="42"/>
      <x:c r="L126" s="42"/>
      <x:c r="M126" s="42"/>
    </x:row>
    <x:row r="127">
      <x:c r="A127" s="42"/>
      <x:c r="B127" s="42"/>
      <x:c r="C127" s="42"/>
      <x:c r="D127" s="42"/>
      <x:c r="E127" s="42"/>
      <x:c r="F127" s="42"/>
      <x:c r="G127" s="42"/>
      <x:c r="H127" s="42"/>
      <x:c r="I127" s="42"/>
      <x:c r="J127" s="42"/>
      <x:c r="K127" s="42"/>
      <x:c r="L127" s="42"/>
      <x:c r="M127" s="42"/>
    </x:row>
    <x:row r="128">
      <x:c r="A128" s="42"/>
      <x:c r="B128" s="42"/>
      <x:c r="C128" s="42"/>
      <x:c r="D128" s="42"/>
      <x:c r="E128" s="42"/>
      <x:c r="F128" s="42"/>
      <x:c r="G128" s="42"/>
      <x:c r="H128" s="42"/>
      <x:c r="I128" s="42"/>
      <x:c r="J128" s="42"/>
      <x:c r="K128" s="42"/>
      <x:c r="L128" s="42"/>
      <x:c r="M128" s="42"/>
    </x:row>
    <x:row r="129">
      <x:c r="A129" s="42"/>
      <x:c r="B129" s="42"/>
      <x:c r="C129" s="42"/>
      <x:c r="D129" s="42"/>
      <x:c r="E129" s="42"/>
      <x:c r="F129" s="42"/>
      <x:c r="G129" s="42"/>
      <x:c r="H129" s="42"/>
      <x:c r="I129" s="42"/>
      <x:c r="J129" s="42"/>
      <x:c r="K129" s="42"/>
      <x:c r="L129" s="42"/>
      <x:c r="M129" s="42"/>
    </x:row>
    <x:row r="130">
      <x:c r="A130" s="42"/>
      <x:c r="B130" s="42"/>
      <x:c r="C130" s="42"/>
      <x:c r="D130" s="42"/>
      <x:c r="E130" s="42"/>
      <x:c r="F130" s="42"/>
      <x:c r="G130" s="42"/>
      <x:c r="H130" s="42"/>
      <x:c r="I130" s="42"/>
      <x:c r="J130" s="42"/>
      <x:c r="K130" s="42"/>
      <x:c r="L130" s="42"/>
      <x:c r="M130" s="42"/>
    </x:row>
    <x:row r="131">
      <x:c r="A131" s="42"/>
      <x:c r="B131" s="42"/>
      <x:c r="C131" s="42"/>
      <x:c r="D131" s="42"/>
      <x:c r="E131" s="42"/>
      <x:c r="F131" s="42"/>
      <x:c r="G131" s="42"/>
      <x:c r="H131" s="42"/>
      <x:c r="I131" s="42"/>
      <x:c r="J131" s="42"/>
      <x:c r="K131" s="42"/>
      <x:c r="L131" s="42"/>
      <x:c r="M131" s="42"/>
    </x:row>
    <x:row r="132">
      <x:c r="A132" s="42"/>
      <x:c r="B132" s="42"/>
      <x:c r="C132" s="42"/>
      <x:c r="D132" s="42"/>
      <x:c r="E132" s="42"/>
      <x:c r="F132" s="42"/>
      <x:c r="G132" s="42"/>
      <x:c r="H132" s="42"/>
      <x:c r="I132" s="42"/>
      <x:c r="J132" s="42"/>
      <x:c r="K132" s="42"/>
      <x:c r="L132" s="42"/>
      <x:c r="M132" s="42"/>
    </x:row>
    <x:row r="133">
      <x:c r="A133" s="42"/>
      <x:c r="B133" s="42"/>
      <x:c r="C133" s="42"/>
      <x:c r="D133" s="42"/>
      <x:c r="E133" s="42"/>
      <x:c r="F133" s="42"/>
      <x:c r="G133" s="42"/>
      <x:c r="H133" s="42"/>
      <x:c r="I133" s="42"/>
      <x:c r="J133" s="42"/>
      <x:c r="K133" s="42"/>
      <x:c r="L133" s="42"/>
      <x:c r="M133" s="42"/>
    </x:row>
    <x:row r="134">
      <x:c r="A134" s="42"/>
      <x:c r="B134" s="42"/>
      <x:c r="C134" s="42"/>
      <x:c r="D134" s="42"/>
      <x:c r="E134" s="42"/>
      <x:c r="F134" s="42"/>
      <x:c r="G134" s="42"/>
      <x:c r="H134" s="42"/>
      <x:c r="I134" s="42"/>
      <x:c r="J134" s="42"/>
      <x:c r="K134" s="42"/>
      <x:c r="L134" s="42"/>
      <x:c r="M134" s="42"/>
    </x:row>
    <x:row r="135">
      <x:c r="A135" s="42"/>
      <x:c r="B135" s="42"/>
      <x:c r="C135" s="42"/>
      <x:c r="D135" s="42"/>
      <x:c r="E135" s="42"/>
      <x:c r="F135" s="42"/>
      <x:c r="G135" s="42"/>
      <x:c r="H135" s="42"/>
      <x:c r="I135" s="42"/>
      <x:c r="J135" s="42"/>
      <x:c r="K135" s="42"/>
      <x:c r="L135" s="42"/>
      <x:c r="M135" s="42"/>
    </x:row>
    <x:row r="136">
      <x:c r="A136" s="42"/>
      <x:c r="B136" s="42"/>
      <x:c r="C136" s="42"/>
      <x:c r="D136" s="42"/>
      <x:c r="E136" s="42"/>
      <x:c r="F136" s="42"/>
      <x:c r="G136" s="42"/>
      <x:c r="H136" s="42"/>
      <x:c r="I136" s="42"/>
      <x:c r="J136" s="42"/>
      <x:c r="K136" s="42"/>
      <x:c r="L136" s="42"/>
      <x:c r="M136" s="42"/>
    </x:row>
    <x:row r="137">
      <x:c r="A137" s="42"/>
      <x:c r="B137" s="42"/>
      <x:c r="C137" s="42"/>
      <x:c r="D137" s="42"/>
      <x:c r="E137" s="42"/>
      <x:c r="F137" s="42"/>
      <x:c r="G137" s="42"/>
      <x:c r="H137" s="42"/>
      <x:c r="I137" s="42"/>
      <x:c r="J137" s="42"/>
      <x:c r="K137" s="42"/>
      <x:c r="L137" s="42"/>
      <x:c r="M137" s="42"/>
    </x:row>
    <x:row r="138">
      <x:c r="A138" s="42"/>
      <x:c r="B138" s="42"/>
      <x:c r="C138" s="42"/>
      <x:c r="D138" s="42"/>
      <x:c r="E138" s="42"/>
      <x:c r="F138" s="42"/>
      <x:c r="G138" s="42"/>
      <x:c r="H138" s="42"/>
      <x:c r="I138" s="42"/>
      <x:c r="J138" s="42"/>
      <x:c r="K138" s="42"/>
      <x:c r="L138" s="42"/>
      <x:c r="M138" s="42"/>
    </x:row>
    <x:row r="139">
      <x:c r="A139" s="42"/>
      <x:c r="B139" s="42"/>
      <x:c r="C139" s="42"/>
      <x:c r="D139" s="42"/>
      <x:c r="E139" s="42"/>
      <x:c r="F139" s="42"/>
      <x:c r="G139" s="42"/>
      <x:c r="H139" s="42"/>
      <x:c r="I139" s="42"/>
      <x:c r="J139" s="42"/>
      <x:c r="K139" s="42"/>
      <x:c r="L139" s="42"/>
      <x:c r="M139" s="42"/>
    </x:row>
    <x:row r="140">
      <x:c r="A140" s="42"/>
      <x:c r="B140" s="42"/>
      <x:c r="C140" s="42"/>
      <x:c r="D140" s="42"/>
      <x:c r="E140" s="42"/>
      <x:c r="F140" s="42"/>
      <x:c r="G140" s="42"/>
      <x:c r="H140" s="42"/>
      <x:c r="I140" s="42"/>
      <x:c r="J140" s="42"/>
      <x:c r="K140" s="42"/>
      <x:c r="L140" s="42"/>
      <x:c r="M140" s="42"/>
    </x:row>
    <x:row r="141">
      <x:c r="A141" s="42"/>
      <x:c r="B141" s="42"/>
      <x:c r="C141" s="42"/>
      <x:c r="D141" s="42"/>
      <x:c r="E141" s="42"/>
      <x:c r="F141" s="42"/>
      <x:c r="G141" s="42"/>
      <x:c r="H141" s="42"/>
      <x:c r="I141" s="42"/>
      <x:c r="J141" s="42"/>
      <x:c r="K141" s="42"/>
      <x:c r="L141" s="42"/>
      <x:c r="M141" s="42"/>
    </x:row>
    <x:row r="142">
      <x:c r="A142" s="42"/>
      <x:c r="B142" s="42"/>
      <x:c r="C142" s="42"/>
      <x:c r="D142" s="42"/>
      <x:c r="E142" s="42"/>
      <x:c r="F142" s="42"/>
      <x:c r="G142" s="42"/>
      <x:c r="H142" s="42"/>
      <x:c r="I142" s="42"/>
      <x:c r="J142" s="42"/>
      <x:c r="K142" s="42"/>
      <x:c r="L142" s="42"/>
      <x:c r="M142" s="42"/>
    </x:row>
    <x:row r="143">
      <x:c r="A143" s="42"/>
      <x:c r="B143" s="42"/>
      <x:c r="C143" s="42"/>
      <x:c r="D143" s="42"/>
      <x:c r="E143" s="42"/>
      <x:c r="F143" s="42"/>
      <x:c r="G143" s="42"/>
      <x:c r="H143" s="42"/>
      <x:c r="I143" s="42"/>
      <x:c r="J143" s="42"/>
      <x:c r="K143" s="42"/>
      <x:c r="L143" s="42"/>
      <x:c r="M143" s="42"/>
    </x:row>
    <x:row r="144">
      <x:c r="A144" s="42"/>
      <x:c r="B144" s="42"/>
      <x:c r="C144" s="42"/>
      <x:c r="D144" s="42"/>
      <x:c r="E144" s="42"/>
      <x:c r="F144" s="42"/>
      <x:c r="G144" s="42"/>
      <x:c r="H144" s="42"/>
      <x:c r="I144" s="42"/>
      <x:c r="J144" s="42"/>
      <x:c r="K144" s="42"/>
      <x:c r="L144" s="42"/>
      <x:c r="M144" s="42"/>
    </x:row>
    <x:row r="145">
      <x:c r="A145" s="42"/>
      <x:c r="B145" s="42"/>
      <x:c r="C145" s="42"/>
      <x:c r="D145" s="42"/>
      <x:c r="E145" s="42"/>
      <x:c r="F145" s="42"/>
      <x:c r="G145" s="42"/>
      <x:c r="H145" s="42"/>
      <x:c r="I145" s="42"/>
      <x:c r="J145" s="42"/>
      <x:c r="K145" s="42"/>
      <x:c r="L145" s="42"/>
      <x:c r="M145" s="42"/>
    </x:row>
    <x:row r="146">
      <x:c r="A146" s="42"/>
      <x:c r="B146" s="42"/>
      <x:c r="C146" s="42"/>
      <x:c r="D146" s="42"/>
      <x:c r="E146" s="42"/>
      <x:c r="F146" s="42"/>
      <x:c r="G146" s="42"/>
      <x:c r="H146" s="42"/>
      <x:c r="I146" s="42"/>
      <x:c r="J146" s="42"/>
      <x:c r="K146" s="42"/>
      <x:c r="L146" s="42"/>
      <x:c r="M146" s="42"/>
    </x:row>
    <x:row r="147">
      <x:c r="A147" s="42"/>
      <x:c r="B147" s="42"/>
      <x:c r="C147" s="42"/>
      <x:c r="D147" s="42"/>
      <x:c r="E147" s="42"/>
      <x:c r="F147" s="42"/>
      <x:c r="G147" s="42"/>
      <x:c r="H147" s="42"/>
      <x:c r="I147" s="42"/>
      <x:c r="J147" s="42"/>
      <x:c r="K147" s="42"/>
      <x:c r="L147" s="42"/>
      <x:c r="M147" s="42"/>
    </x:row>
    <x:row r="148">
      <x:c r="A148" s="42"/>
      <x:c r="B148" s="42"/>
      <x:c r="C148" s="42"/>
      <x:c r="D148" s="42"/>
      <x:c r="E148" s="42"/>
      <x:c r="F148" s="42"/>
      <x:c r="G148" s="42"/>
      <x:c r="H148" s="42"/>
      <x:c r="I148" s="42"/>
      <x:c r="J148" s="42"/>
      <x:c r="K148" s="42"/>
      <x:c r="L148" s="42"/>
      <x:c r="M148" s="42"/>
    </x:row>
    <x:row r="149">
      <x:c r="A149" s="42"/>
      <x:c r="B149" s="42"/>
      <x:c r="C149" s="42"/>
      <x:c r="D149" s="42"/>
      <x:c r="E149" s="42"/>
      <x:c r="F149" s="42"/>
      <x:c r="G149" s="42"/>
      <x:c r="H149" s="42"/>
      <x:c r="I149" s="42"/>
      <x:c r="J149" s="42"/>
      <x:c r="K149" s="42"/>
      <x:c r="L149" s="42"/>
      <x:c r="M149" s="42"/>
    </x:row>
    <x:row r="150">
      <x:c r="A150" s="42"/>
      <x:c r="B150" s="42"/>
      <x:c r="C150" s="42"/>
      <x:c r="D150" s="42"/>
      <x:c r="E150" s="42"/>
      <x:c r="F150" s="42"/>
      <x:c r="G150" s="42"/>
      <x:c r="H150" s="42"/>
      <x:c r="I150" s="42"/>
      <x:c r="J150" s="42"/>
      <x:c r="K150" s="42"/>
      <x:c r="L150" s="42"/>
      <x:c r="M150" s="42"/>
    </x:row>
    <x:row r="151">
      <x:c r="A151" s="42"/>
      <x:c r="B151" s="42"/>
      <x:c r="C151" s="42"/>
      <x:c r="D151" s="42"/>
      <x:c r="E151" s="42"/>
      <x:c r="F151" s="42"/>
      <x:c r="G151" s="42"/>
      <x:c r="H151" s="42"/>
      <x:c r="I151" s="42"/>
      <x:c r="J151" s="42"/>
      <x:c r="K151" s="42"/>
      <x:c r="L151" s="42"/>
      <x:c r="M151" s="42"/>
    </x:row>
    <x:row r="152">
      <x:c r="A152" s="42"/>
      <x:c r="B152" s="42"/>
      <x:c r="C152" s="42"/>
      <x:c r="D152" s="42"/>
      <x:c r="E152" s="42"/>
      <x:c r="F152" s="42"/>
      <x:c r="G152" s="42"/>
      <x:c r="H152" s="42"/>
      <x:c r="I152" s="42"/>
      <x:c r="J152" s="42"/>
      <x:c r="K152" s="42"/>
      <x:c r="L152" s="42"/>
      <x:c r="M152" s="42"/>
    </x:row>
    <x:row r="153">
      <x:c r="A153" s="42"/>
      <x:c r="B153" s="42"/>
      <x:c r="C153" s="42"/>
      <x:c r="D153" s="42"/>
      <x:c r="E153" s="42"/>
      <x:c r="F153" s="42"/>
      <x:c r="G153" s="42"/>
      <x:c r="H153" s="42"/>
      <x:c r="I153" s="42"/>
      <x:c r="J153" s="42"/>
      <x:c r="K153" s="42"/>
      <x:c r="L153" s="42"/>
      <x:c r="M153" s="42"/>
    </x:row>
    <x:row r="154">
      <x:c r="A154" s="42"/>
      <x:c r="B154" s="42"/>
      <x:c r="C154" s="42"/>
      <x:c r="D154" s="42"/>
      <x:c r="E154" s="42"/>
      <x:c r="F154" s="42"/>
      <x:c r="G154" s="42"/>
      <x:c r="H154" s="42"/>
      <x:c r="I154" s="42"/>
      <x:c r="J154" s="42"/>
      <x:c r="K154" s="42"/>
      <x:c r="L154" s="42"/>
      <x:c r="M154" s="42"/>
    </x:row>
    <x:row r="155">
      <x:c r="A155" s="42"/>
      <x:c r="B155" s="42"/>
      <x:c r="C155" s="42"/>
      <x:c r="D155" s="42"/>
      <x:c r="E155" s="42"/>
      <x:c r="F155" s="42"/>
      <x:c r="G155" s="42"/>
      <x:c r="H155" s="42"/>
      <x:c r="I155" s="42"/>
      <x:c r="J155" s="42"/>
      <x:c r="K155" s="42"/>
      <x:c r="L155" s="42"/>
      <x:c r="M155" s="42"/>
    </x:row>
    <x:row r="156">
      <x:c r="A156" s="42"/>
      <x:c r="B156" s="42"/>
      <x:c r="C156" s="42"/>
      <x:c r="D156" s="42"/>
      <x:c r="E156" s="42"/>
      <x:c r="F156" s="42"/>
      <x:c r="G156" s="42"/>
      <x:c r="H156" s="42"/>
      <x:c r="I156" s="42"/>
      <x:c r="J156" s="42"/>
      <x:c r="K156" s="42"/>
      <x:c r="L156" s="42"/>
      <x:c r="M156" s="42"/>
    </x:row>
    <x:row r="157">
      <x:c r="A157" s="42"/>
      <x:c r="B157" s="42"/>
      <x:c r="C157" s="42"/>
      <x:c r="D157" s="42"/>
      <x:c r="E157" s="42"/>
      <x:c r="F157" s="42"/>
      <x:c r="G157" s="42"/>
      <x:c r="H157" s="42"/>
      <x:c r="I157" s="42"/>
      <x:c r="J157" s="42"/>
      <x:c r="K157" s="42"/>
      <x:c r="L157" s="42"/>
      <x:c r="M157" s="42"/>
    </x:row>
    <x:row r="158">
      <x:c r="A158" s="42"/>
      <x:c r="B158" s="42"/>
      <x:c r="C158" s="42"/>
      <x:c r="D158" s="42"/>
      <x:c r="E158" s="42"/>
      <x:c r="F158" s="42"/>
      <x:c r="G158" s="42"/>
      <x:c r="H158" s="42"/>
      <x:c r="I158" s="42"/>
      <x:c r="J158" s="42"/>
      <x:c r="K158" s="42"/>
      <x:c r="L158" s="42"/>
      <x:c r="M158" s="42"/>
    </x:row>
    <x:row r="159">
      <x:c r="A159" s="42"/>
      <x:c r="B159" s="42"/>
      <x:c r="C159" s="42"/>
      <x:c r="D159" s="42"/>
      <x:c r="E159" s="42"/>
      <x:c r="F159" s="42"/>
      <x:c r="G159" s="42"/>
      <x:c r="H159" s="42"/>
      <x:c r="I159" s="42"/>
      <x:c r="J159" s="42"/>
      <x:c r="K159" s="42"/>
      <x:c r="L159" s="42"/>
      <x:c r="M159" s="42"/>
    </x:row>
    <x:row r="160">
      <x:c r="A160" s="42"/>
      <x:c r="B160" s="42"/>
      <x:c r="C160" s="42"/>
      <x:c r="D160" s="42"/>
      <x:c r="E160" s="42"/>
      <x:c r="F160" s="42"/>
      <x:c r="G160" s="42"/>
      <x:c r="H160" s="42"/>
      <x:c r="I160" s="42"/>
      <x:c r="J160" s="42"/>
      <x:c r="K160" s="42"/>
      <x:c r="L160" s="42"/>
      <x:c r="M160" s="42"/>
    </x:row>
    <x:row r="161">
      <x:c r="A161" s="42"/>
      <x:c r="B161" s="42"/>
      <x:c r="C161" s="42"/>
      <x:c r="D161" s="42"/>
      <x:c r="E161" s="42"/>
      <x:c r="F161" s="42"/>
      <x:c r="G161" s="42"/>
      <x:c r="H161" s="42"/>
      <x:c r="I161" s="42"/>
      <x:c r="J161" s="42"/>
      <x:c r="K161" s="42"/>
      <x:c r="L161" s="42"/>
      <x:c r="M161" s="42"/>
    </x:row>
    <x:row r="162">
      <x:c r="A162" s="42"/>
      <x:c r="B162" s="42"/>
      <x:c r="C162" s="42"/>
      <x:c r="D162" s="42"/>
      <x:c r="E162" s="42"/>
      <x:c r="F162" s="42"/>
      <x:c r="G162" s="42"/>
      <x:c r="H162" s="42"/>
      <x:c r="I162" s="42"/>
      <x:c r="J162" s="42"/>
      <x:c r="K162" s="42"/>
      <x:c r="L162" s="42"/>
      <x:c r="M162" s="42"/>
    </x:row>
    <x:row r="163">
      <x:c r="A163" s="42"/>
      <x:c r="B163" s="42"/>
      <x:c r="C163" s="42"/>
      <x:c r="D163" s="42"/>
      <x:c r="E163" s="42"/>
      <x:c r="F163" s="42"/>
      <x:c r="G163" s="42"/>
      <x:c r="H163" s="42"/>
      <x:c r="I163" s="42"/>
      <x:c r="J163" s="42"/>
      <x:c r="K163" s="42"/>
      <x:c r="L163" s="42"/>
      <x:c r="M163" s="42"/>
    </x:row>
    <x:row r="164">
      <x:c r="A164" s="42"/>
      <x:c r="B164" s="42"/>
      <x:c r="C164" s="42"/>
      <x:c r="D164" s="42"/>
      <x:c r="E164" s="42"/>
      <x:c r="F164" s="42"/>
      <x:c r="G164" s="42"/>
      <x:c r="H164" s="42"/>
      <x:c r="I164" s="42"/>
      <x:c r="J164" s="42"/>
      <x:c r="K164" s="42"/>
      <x:c r="L164" s="42"/>
      <x:c r="M164" s="42"/>
    </x:row>
    <x:row r="165">
      <x:c r="A165" s="42"/>
      <x:c r="B165" s="42"/>
      <x:c r="C165" s="42"/>
      <x:c r="D165" s="42"/>
      <x:c r="E165" s="42"/>
      <x:c r="F165" s="42"/>
      <x:c r="G165" s="42"/>
      <x:c r="H165" s="42"/>
      <x:c r="I165" s="42"/>
      <x:c r="J165" s="42"/>
      <x:c r="K165" s="42"/>
      <x:c r="L165" s="42"/>
      <x:c r="M165" s="42"/>
    </x:row>
    <x:row r="166">
      <x:c r="A166" s="42"/>
      <x:c r="B166" s="42"/>
      <x:c r="C166" s="42"/>
      <x:c r="D166" s="42"/>
      <x:c r="E166" s="42"/>
      <x:c r="F166" s="42"/>
      <x:c r="G166" s="42"/>
      <x:c r="H166" s="42"/>
      <x:c r="I166" s="42"/>
      <x:c r="J166" s="42"/>
      <x:c r="K166" s="42"/>
      <x:c r="L166" s="42"/>
      <x:c r="M166" s="42"/>
    </x:row>
    <x:row r="167">
      <x:c r="A167" s="42"/>
      <x:c r="B167" s="42"/>
      <x:c r="C167" s="42"/>
      <x:c r="D167" s="42"/>
      <x:c r="E167" s="42"/>
      <x:c r="F167" s="42"/>
      <x:c r="G167" s="42"/>
      <x:c r="H167" s="42"/>
      <x:c r="I167" s="42"/>
      <x:c r="J167" s="42"/>
      <x:c r="K167" s="42"/>
      <x:c r="L167" s="42"/>
      <x:c r="M167" s="42"/>
    </x:row>
    <x:row r="168">
      <x:c r="A168" s="42"/>
      <x:c r="B168" s="42"/>
      <x:c r="C168" s="42"/>
      <x:c r="D168" s="42"/>
      <x:c r="E168" s="42"/>
      <x:c r="F168" s="42"/>
      <x:c r="G168" s="42"/>
      <x:c r="H168" s="42"/>
      <x:c r="I168" s="42"/>
      <x:c r="J168" s="42"/>
      <x:c r="K168" s="42"/>
      <x:c r="L168" s="42"/>
      <x:c r="M168" s="42"/>
    </x:row>
    <x:row r="169">
      <x:c r="A169" s="42"/>
      <x:c r="B169" s="42"/>
      <x:c r="C169" s="42"/>
      <x:c r="D169" s="42"/>
      <x:c r="E169" s="42"/>
      <x:c r="F169" s="42"/>
      <x:c r="G169" s="42"/>
      <x:c r="H169" s="42"/>
      <x:c r="I169" s="42"/>
      <x:c r="J169" s="42"/>
      <x:c r="K169" s="42"/>
      <x:c r="L169" s="42"/>
      <x:c r="M169" s="42"/>
    </x:row>
    <x:row r="170">
      <x:c r="A170" s="42"/>
      <x:c r="B170" s="42"/>
      <x:c r="C170" s="42"/>
      <x:c r="D170" s="42"/>
      <x:c r="E170" s="42"/>
      <x:c r="F170" s="42"/>
      <x:c r="G170" s="42"/>
      <x:c r="H170" s="42"/>
      <x:c r="I170" s="42"/>
      <x:c r="J170" s="42"/>
      <x:c r="K170" s="42"/>
      <x:c r="L170" s="42"/>
      <x:c r="M170" s="42"/>
    </x:row>
    <x:row r="171">
      <x:c r="A171" s="42"/>
      <x:c r="B171" s="42"/>
      <x:c r="C171" s="42"/>
      <x:c r="D171" s="42"/>
      <x:c r="E171" s="42"/>
      <x:c r="F171" s="42"/>
      <x:c r="G171" s="42"/>
      <x:c r="H171" s="42"/>
      <x:c r="I171" s="42"/>
      <x:c r="J171" s="42"/>
      <x:c r="K171" s="42"/>
      <x:c r="L171" s="42"/>
      <x:c r="M171" s="42"/>
    </x:row>
    <x:row r="172">
      <x:c r="A172" s="42"/>
      <x:c r="B172" s="42"/>
      <x:c r="C172" s="42"/>
      <x:c r="D172" s="42"/>
      <x:c r="E172" s="42"/>
      <x:c r="F172" s="42"/>
      <x:c r="G172" s="42"/>
      <x:c r="H172" s="42"/>
      <x:c r="I172" s="42"/>
      <x:c r="J172" s="42"/>
      <x:c r="K172" s="42"/>
      <x:c r="L172" s="42"/>
      <x:c r="M172" s="42"/>
    </x:row>
    <x:row r="173">
      <x:c r="A173" s="42"/>
      <x:c r="B173" s="42"/>
      <x:c r="C173" s="42"/>
      <x:c r="D173" s="42"/>
      <x:c r="E173" s="42"/>
      <x:c r="F173" s="42"/>
      <x:c r="G173" s="42"/>
      <x:c r="H173" s="42"/>
      <x:c r="I173" s="42"/>
      <x:c r="J173" s="42"/>
      <x:c r="K173" s="42"/>
      <x:c r="L173" s="42"/>
      <x:c r="M173" s="42"/>
    </x:row>
    <x:row r="174">
      <x:c r="A174" s="42"/>
      <x:c r="B174" s="42"/>
      <x:c r="C174" s="42"/>
      <x:c r="D174" s="42"/>
      <x:c r="E174" s="42"/>
      <x:c r="F174" s="42"/>
      <x:c r="G174" s="42"/>
      <x:c r="H174" s="42"/>
      <x:c r="I174" s="42"/>
      <x:c r="J174" s="42"/>
      <x:c r="K174" s="42"/>
      <x:c r="L174" s="42"/>
      <x:c r="M174" s="42"/>
    </x:row>
    <x:row r="175">
      <x:c r="A175" s="42"/>
      <x:c r="B175" s="42"/>
      <x:c r="C175" s="42"/>
      <x:c r="D175" s="42"/>
      <x:c r="E175" s="42"/>
      <x:c r="F175" s="42"/>
      <x:c r="G175" s="42"/>
      <x:c r="H175" s="42"/>
      <x:c r="I175" s="42"/>
      <x:c r="J175" s="42"/>
      <x:c r="K175" s="42"/>
      <x:c r="L175" s="42"/>
      <x:c r="M175" s="42"/>
    </x:row>
    <x:row r="176">
      <x:c r="A176" s="42"/>
      <x:c r="B176" s="42"/>
      <x:c r="C176" s="42"/>
      <x:c r="D176" s="42"/>
      <x:c r="E176" s="42"/>
      <x:c r="F176" s="42"/>
      <x:c r="G176" s="42"/>
      <x:c r="H176" s="42"/>
      <x:c r="I176" s="42"/>
      <x:c r="J176" s="42"/>
      <x:c r="K176" s="42"/>
      <x:c r="L176" s="42"/>
      <x:c r="M176" s="42"/>
    </x:row>
    <x:row r="177">
      <x:c r="A177" s="42"/>
      <x:c r="B177" s="42"/>
      <x:c r="C177" s="42"/>
      <x:c r="D177" s="42"/>
      <x:c r="E177" s="42"/>
      <x:c r="F177" s="42"/>
      <x:c r="G177" s="42"/>
      <x:c r="H177" s="42"/>
      <x:c r="I177" s="42"/>
      <x:c r="J177" s="42"/>
      <x:c r="K177" s="42"/>
      <x:c r="L177" s="42"/>
      <x:c r="M177" s="42"/>
    </x:row>
    <x:row r="178">
      <x:c r="A178" s="42"/>
      <x:c r="B178" s="42"/>
      <x:c r="C178" s="42"/>
      <x:c r="D178" s="42"/>
      <x:c r="E178" s="42"/>
      <x:c r="F178" s="42"/>
      <x:c r="G178" s="42"/>
      <x:c r="H178" s="42"/>
      <x:c r="I178" s="42"/>
      <x:c r="J178" s="42"/>
      <x:c r="K178" s="42"/>
      <x:c r="L178" s="42"/>
      <x:c r="M178" s="42"/>
    </x:row>
    <x:row r="179">
      <x:c r="A179" s="42"/>
      <x:c r="B179" s="42"/>
      <x:c r="C179" s="42"/>
      <x:c r="D179" s="42"/>
      <x:c r="E179" s="42"/>
      <x:c r="F179" s="42"/>
      <x:c r="G179" s="42"/>
      <x:c r="H179" s="42"/>
      <x:c r="I179" s="42"/>
      <x:c r="J179" s="42"/>
      <x:c r="K179" s="42"/>
      <x:c r="L179" s="42"/>
      <x:c r="M179" s="42"/>
    </x:row>
    <x:row r="180">
      <x:c r="A180" s="42"/>
      <x:c r="B180" s="42"/>
      <x:c r="C180" s="42"/>
      <x:c r="D180" s="42"/>
      <x:c r="E180" s="42"/>
      <x:c r="F180" s="42"/>
      <x:c r="G180" s="42"/>
      <x:c r="H180" s="42"/>
      <x:c r="I180" s="42"/>
      <x:c r="J180" s="42"/>
      <x:c r="K180" s="42"/>
      <x:c r="L180" s="42"/>
      <x:c r="M180" s="42"/>
    </x:row>
    <x:row r="181">
      <x:c r="A181" s="42"/>
      <x:c r="B181" s="42"/>
      <x:c r="C181" s="42"/>
      <x:c r="D181" s="42"/>
      <x:c r="E181" s="42"/>
      <x:c r="F181" s="42"/>
      <x:c r="G181" s="42"/>
      <x:c r="H181" s="42"/>
      <x:c r="I181" s="42"/>
      <x:c r="J181" s="42"/>
      <x:c r="K181" s="42"/>
      <x:c r="L181" s="42"/>
      <x:c r="M181" s="42"/>
    </x:row>
    <x:row r="182">
      <x:c r="A182" s="42"/>
      <x:c r="B182" s="42"/>
      <x:c r="C182" s="42"/>
      <x:c r="D182" s="42"/>
      <x:c r="E182" s="42"/>
      <x:c r="F182" s="42"/>
      <x:c r="G182" s="42"/>
      <x:c r="H182" s="42"/>
      <x:c r="I182" s="42"/>
      <x:c r="J182" s="42"/>
      <x:c r="K182" s="42"/>
      <x:c r="L182" s="42"/>
      <x:c r="M182" s="42"/>
    </x:row>
    <x:row r="183">
      <x:c r="A183" s="42"/>
      <x:c r="B183" s="42"/>
      <x:c r="C183" s="42"/>
      <x:c r="D183" s="42"/>
      <x:c r="E183" s="42"/>
      <x:c r="F183" s="42"/>
      <x:c r="G183" s="42"/>
      <x:c r="H183" s="42"/>
      <x:c r="I183" s="42"/>
      <x:c r="J183" s="42"/>
      <x:c r="K183" s="42"/>
      <x:c r="L183" s="42"/>
      <x:c r="M183" s="42"/>
    </x:row>
    <x:row r="184">
      <x:c r="A184" s="42"/>
      <x:c r="B184" s="42"/>
      <x:c r="C184" s="42"/>
      <x:c r="D184" s="42"/>
      <x:c r="E184" s="42"/>
      <x:c r="F184" s="42"/>
      <x:c r="G184" s="42"/>
      <x:c r="H184" s="42"/>
      <x:c r="I184" s="42"/>
      <x:c r="J184" s="42"/>
      <x:c r="K184" s="42"/>
      <x:c r="L184" s="42"/>
      <x:c r="M184" s="42"/>
    </x:row>
    <x:row r="185">
      <x:c r="A185" s="42"/>
      <x:c r="B185" s="42"/>
      <x:c r="C185" s="42"/>
      <x:c r="D185" s="42"/>
      <x:c r="E185" s="42"/>
      <x:c r="F185" s="42"/>
      <x:c r="G185" s="42"/>
      <x:c r="H185" s="42"/>
      <x:c r="I185" s="42"/>
      <x:c r="J185" s="42"/>
      <x:c r="K185" s="42"/>
      <x:c r="L185" s="42"/>
      <x:c r="M185" s="42"/>
    </x:row>
    <x:row r="186">
      <x:c r="A186" s="42"/>
      <x:c r="B186" s="42"/>
      <x:c r="C186" s="42"/>
      <x:c r="D186" s="42"/>
      <x:c r="E186" s="42"/>
      <x:c r="F186" s="42"/>
      <x:c r="G186" s="42"/>
      <x:c r="H186" s="42"/>
      <x:c r="I186" s="42"/>
      <x:c r="J186" s="42"/>
      <x:c r="K186" s="42"/>
      <x:c r="L186" s="42"/>
      <x:c r="M186" s="42"/>
    </x:row>
    <x:row r="187">
      <x:c r="A187" s="42"/>
      <x:c r="B187" s="42"/>
      <x:c r="C187" s="42"/>
      <x:c r="D187" s="42"/>
      <x:c r="E187" s="42"/>
      <x:c r="F187" s="42"/>
      <x:c r="G187" s="42"/>
      <x:c r="H187" s="42"/>
      <x:c r="I187" s="42"/>
      <x:c r="J187" s="42"/>
      <x:c r="K187" s="42"/>
      <x:c r="L187" s="42"/>
      <x:c r="M187" s="42"/>
    </x:row>
    <x:row r="188">
      <x:c r="A188" s="42"/>
      <x:c r="B188" s="42"/>
      <x:c r="C188" s="42"/>
      <x:c r="D188" s="42"/>
      <x:c r="E188" s="42"/>
      <x:c r="F188" s="42"/>
      <x:c r="G188" s="42"/>
      <x:c r="H188" s="42"/>
      <x:c r="I188" s="42"/>
      <x:c r="J188" s="42"/>
      <x:c r="K188" s="42"/>
      <x:c r="L188" s="42"/>
      <x:c r="M188" s="42"/>
    </x:row>
    <x:row r="189">
      <x:c r="A189" s="42"/>
      <x:c r="B189" s="42"/>
      <x:c r="C189" s="42"/>
      <x:c r="D189" s="42"/>
      <x:c r="E189" s="42"/>
      <x:c r="F189" s="42"/>
      <x:c r="G189" s="42"/>
      <x:c r="H189" s="42"/>
      <x:c r="I189" s="42"/>
      <x:c r="J189" s="42"/>
      <x:c r="K189" s="42"/>
      <x:c r="L189" s="42"/>
      <x:c r="M189" s="42"/>
    </x:row>
    <x:row r="190">
      <x:c r="A190" s="42"/>
      <x:c r="B190" s="42"/>
      <x:c r="C190" s="42"/>
      <x:c r="D190" s="42"/>
      <x:c r="E190" s="42"/>
      <x:c r="F190" s="42"/>
      <x:c r="G190" s="42"/>
      <x:c r="H190" s="42"/>
      <x:c r="I190" s="42"/>
      <x:c r="J190" s="42"/>
      <x:c r="K190" s="42"/>
      <x:c r="L190" s="42"/>
      <x:c r="M190" s="42"/>
    </x:row>
    <x:row r="191">
      <x:c r="A191" s="42"/>
      <x:c r="B191" s="42"/>
      <x:c r="C191" s="42"/>
      <x:c r="D191" s="42"/>
      <x:c r="E191" s="42"/>
      <x:c r="F191" s="42"/>
      <x:c r="G191" s="42"/>
      <x:c r="H191" s="42"/>
      <x:c r="I191" s="42"/>
      <x:c r="J191" s="42"/>
      <x:c r="K191" s="42"/>
      <x:c r="L191" s="42"/>
      <x:c r="M191" s="42"/>
    </x:row>
    <x:row r="192">
      <x:c r="A192" s="42"/>
      <x:c r="B192" s="42"/>
      <x:c r="C192" s="42"/>
      <x:c r="D192" s="42"/>
      <x:c r="E192" s="42"/>
      <x:c r="F192" s="42"/>
      <x:c r="G192" s="42"/>
      <x:c r="H192" s="42"/>
      <x:c r="I192" s="42"/>
      <x:c r="J192" s="42"/>
      <x:c r="K192" s="42"/>
      <x:c r="L192" s="42"/>
      <x:c r="M192" s="42"/>
    </x:row>
    <x:row r="193">
      <x:c r="A193" s="42"/>
      <x:c r="B193" s="42"/>
      <x:c r="C193" s="42"/>
      <x:c r="D193" s="42"/>
      <x:c r="E193" s="42"/>
      <x:c r="F193" s="42"/>
      <x:c r="G193" s="42"/>
      <x:c r="H193" s="42"/>
      <x:c r="I193" s="42"/>
      <x:c r="J193" s="42"/>
      <x:c r="K193" s="42"/>
      <x:c r="L193" s="42"/>
      <x:c r="M193" s="42"/>
    </x:row>
    <x:row r="194">
      <x:c r="A194" s="42"/>
      <x:c r="B194" s="42"/>
      <x:c r="C194" s="42"/>
      <x:c r="D194" s="42"/>
      <x:c r="E194" s="42"/>
      <x:c r="F194" s="42"/>
      <x:c r="G194" s="42"/>
      <x:c r="H194" s="42"/>
      <x:c r="I194" s="42"/>
      <x:c r="J194" s="42"/>
      <x:c r="K194" s="42"/>
      <x:c r="L194" s="42"/>
      <x:c r="M194" s="42"/>
    </x:row>
    <x:row r="195">
      <x:c r="A195" s="42"/>
      <x:c r="B195" s="42"/>
      <x:c r="C195" s="42"/>
      <x:c r="D195" s="42"/>
      <x:c r="E195" s="42"/>
      <x:c r="F195" s="42"/>
      <x:c r="G195" s="42"/>
      <x:c r="H195" s="42"/>
      <x:c r="I195" s="42"/>
      <x:c r="J195" s="42"/>
      <x:c r="K195" s="42"/>
      <x:c r="L195" s="42"/>
      <x:c r="M195" s="42"/>
    </x:row>
    <x:row r="196">
      <x:c r="A196" s="42"/>
      <x:c r="B196" s="42"/>
      <x:c r="C196" s="42"/>
      <x:c r="D196" s="42"/>
      <x:c r="E196" s="42"/>
      <x:c r="F196" s="42"/>
      <x:c r="G196" s="42"/>
      <x:c r="H196" s="42"/>
      <x:c r="I196" s="42"/>
      <x:c r="J196" s="42"/>
      <x:c r="K196" s="42"/>
      <x:c r="L196" s="42"/>
      <x:c r="M196" s="42"/>
    </x:row>
    <x:row r="197">
      <x:c r="A197" s="42"/>
      <x:c r="B197" s="42"/>
      <x:c r="C197" s="42"/>
      <x:c r="D197" s="42"/>
      <x:c r="E197" s="42"/>
      <x:c r="F197" s="42"/>
      <x:c r="G197" s="42"/>
      <x:c r="H197" s="42"/>
      <x:c r="I197" s="42"/>
      <x:c r="J197" s="42"/>
      <x:c r="K197" s="42"/>
      <x:c r="L197" s="42"/>
      <x:c r="M197" s="42"/>
    </x:row>
    <x:row r="198">
      <x:c r="A198" s="42"/>
      <x:c r="B198" s="42"/>
      <x:c r="C198" s="42"/>
      <x:c r="D198" s="42"/>
      <x:c r="E198" s="42"/>
      <x:c r="F198" s="42"/>
      <x:c r="G198" s="42"/>
      <x:c r="H198" s="42"/>
      <x:c r="I198" s="42"/>
      <x:c r="J198" s="42"/>
      <x:c r="K198" s="42"/>
      <x:c r="L198" s="42"/>
      <x:c r="M198" s="42"/>
    </x:row>
    <x:row r="199">
      <x:c r="A199" s="42"/>
      <x:c r="B199" s="42"/>
      <x:c r="C199" s="42"/>
      <x:c r="D199" s="42"/>
      <x:c r="E199" s="42"/>
      <x:c r="F199" s="42"/>
      <x:c r="G199" s="42"/>
      <x:c r="H199" s="42"/>
      <x:c r="I199" s="42"/>
      <x:c r="J199" s="42"/>
      <x:c r="K199" s="42"/>
      <x:c r="L199" s="42"/>
      <x:c r="M199" s="42"/>
    </x:row>
    <x:row r="200">
      <x:c r="A200" s="42"/>
      <x:c r="B200" s="42"/>
      <x:c r="C200" s="42"/>
      <x:c r="D200" s="42"/>
      <x:c r="E200" s="42"/>
      <x:c r="F200" s="42"/>
      <x:c r="G200" s="42"/>
      <x:c r="H200" s="42"/>
      <x:c r="I200" s="42"/>
      <x:c r="J200" s="42"/>
      <x:c r="K200" s="42"/>
      <x:c r="L200" s="42"/>
      <x:c r="M200" s="42"/>
    </x:row>
  </x:sheetData>
  <x:mergeCells>
    <x:mergeCell ref="A1:M1"/>
    <x:mergeCell ref="A2:M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.75" hidden="0" customWidth="1"/>
    <x:col min="2" max="2" width="11.880000114440918" hidden="0" customWidth="1"/>
    <x:col min="3" max="3" width="11.880000114440918" hidden="0" customWidth="1"/>
    <x:col min="4" max="4" width="11.880000114440918" hidden="0" customWidth="1"/>
    <x:col min="5" max="5" width="11.880000114440918" hidden="0" customWidth="1"/>
    <x:col min="6" max="6" width="11.880000114440918" hidden="0" customWidth="1"/>
    <x:col min="7" max="7" width="11.880000114440918" hidden="0" customWidth="1"/>
    <x:col min="8" max="8" width="11.880000114440918" hidden="0" customWidth="1"/>
    <x:col min="9" max="9" width="11.880000114440918" hidden="0" customWidth="1"/>
    <x:col min="10" max="10" width="11.880000114440918" hidden="0" customWidth="1"/>
    <x:col min="11" max="11" width="11.880000114440918" hidden="0" customWidth="1"/>
    <x:col min="12" max="12" width="11.880000114440918" hidden="0" customWidth="1"/>
    <x:col min="13" max="13" width="11.880000114440918" hidden="0" customWidth="1"/>
  </x:cols>
  <x:sheetData>
    <x:row r="1" ht="25.5" customHeight="1">
      <x:c r="A1" s="41" t="str">
        <x:v>Лист 4. Доходы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</x:row>
    <x:row r="2" ht="22.5" customHeight="1">
      <x:c r="A2" s="43" t="str">
        <x:v>Выручка считается из активных платящих пользователей по тарифам и Telegram Stars reward value.</x:v>
      </x:c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</x:row>
    <x:row r="3">
      <x:c r="A3" s="42"/>
      <x:c r="B3" s="42"/>
      <x:c r="C3" s="42"/>
      <x:c r="D3" s="42"/>
      <x:c r="E3" s="42"/>
      <x:c r="F3" s="42"/>
      <x:c r="G3" s="42"/>
      <x:c r="H3" s="42"/>
      <x:c r="I3" s="42"/>
      <x:c r="J3" s="42"/>
      <x:c r="K3" s="42"/>
      <x:c r="L3" s="42"/>
      <x:c r="M3" s="42"/>
    </x:row>
    <x:row r="4">
      <x:c r="A4" s="44" t="str">
        <x:v>Показатель</x:v>
      </x:c>
      <x:c r="B4" s="44" t="str">
        <x:v>М1</x:v>
      </x:c>
      <x:c r="C4" s="44" t="str">
        <x:v>М2</x:v>
      </x:c>
      <x:c r="D4" s="44" t="str">
        <x:v>М3</x:v>
      </x:c>
      <x:c r="E4" s="44" t="str">
        <x:v>М4</x:v>
      </x:c>
      <x:c r="F4" s="44" t="str">
        <x:v>М5</x:v>
      </x:c>
      <x:c r="G4" s="44" t="str">
        <x:v>М6</x:v>
      </x:c>
      <x:c r="H4" s="44" t="str">
        <x:v>М7</x:v>
      </x:c>
      <x:c r="I4" s="44" t="str">
        <x:v>М8</x:v>
      </x:c>
      <x:c r="J4" s="44" t="str">
        <x:v>М9</x:v>
      </x:c>
      <x:c r="K4" s="44" t="str">
        <x:v>М10</x:v>
      </x:c>
      <x:c r="L4" s="44" t="str">
        <x:v>М11</x:v>
      </x:c>
      <x:c r="M4" s="44" t="str">
        <x:v>М12</x:v>
      </x:c>
    </x:row>
    <x:row r="5">
      <x:c r="A5" s="45" t="str">
        <x:v>Starter EOM</x:v>
      </x:c>
      <x:c r="B5" s="62" t="n">
        <x:f>'Конверсии по тарифам'!B16</x:f>
        <x:v>2</x:v>
      </x:c>
      <x:c r="C5" s="62" t="n">
        <x:f>'Конверсии по тарифам'!C16</x:f>
        <x:v>6</x:v>
      </x:c>
      <x:c r="D5" s="62" t="n">
        <x:f>'Конверсии по тарифам'!D16</x:f>
        <x:v>16</x:v>
      </x:c>
      <x:c r="E5" s="62" t="n">
        <x:f>'Конверсии по тарифам'!E16</x:f>
        <x:v>33</x:v>
      </x:c>
      <x:c r="F5" s="62" t="n">
        <x:f>'Конверсии по тарифам'!F16</x:f>
        <x:v>66</x:v>
      </x:c>
      <x:c r="G5" s="62" t="n">
        <x:f>'Конверсии по тарифам'!G16</x:f>
        <x:v>130</x:v>
      </x:c>
      <x:c r="H5" s="62" t="n">
        <x:f>'Конверсии по тарифам'!H16</x:f>
        <x:v>233</x:v>
      </x:c>
      <x:c r="I5" s="62" t="n">
        <x:f>'Конверсии по тарифам'!I16</x:f>
        <x:v>401</x:v>
      </x:c>
      <x:c r="J5" s="62" t="n">
        <x:f>'Конверсии по тарифам'!J16</x:f>
        <x:v>632</x:v>
      </x:c>
      <x:c r="K5" s="62" t="n">
        <x:f>'Конверсии по тарифам'!K16</x:f>
        <x:v>956</x:v>
      </x:c>
      <x:c r="L5" s="62" t="n">
        <x:f>'Конверсии по тарифам'!L16</x:f>
        <x:v>1354</x:v>
      </x:c>
      <x:c r="M5" s="62" t="n">
        <x:f>'Конверсии по тарифам'!M16</x:f>
        <x:v>1826</x:v>
      </x:c>
    </x:row>
    <x:row r="6">
      <x:c r="A6" s="45" t="str">
        <x:v>Starter price RUB</x:v>
      </x:c>
      <x:c r="B6" s="54" t="n">
        <x:f>'Исходные данные'!$H$6</x:f>
        <x:v>94.57227</x:v>
      </x:c>
      <x:c r="C6" s="54" t="n">
        <x:f>'Исходные данные'!$H$6</x:f>
        <x:v>94.57227</x:v>
      </x:c>
      <x:c r="D6" s="54" t="n">
        <x:f>'Исходные данные'!$H$6</x:f>
        <x:v>94.57227</x:v>
      </x:c>
      <x:c r="E6" s="54" t="n">
        <x:f>'Исходные данные'!$H$6</x:f>
        <x:v>94.57227</x:v>
      </x:c>
      <x:c r="F6" s="54" t="n">
        <x:f>'Исходные данные'!$H$6</x:f>
        <x:v>94.57227</x:v>
      </x:c>
      <x:c r="G6" s="54" t="n">
        <x:f>'Исходные данные'!$H$6</x:f>
        <x:v>94.57227</x:v>
      </x:c>
      <x:c r="H6" s="54" t="n">
        <x:f>'Исходные данные'!$H$6</x:f>
        <x:v>94.57227</x:v>
      </x:c>
      <x:c r="I6" s="54" t="n">
        <x:f>'Исходные данные'!$H$6</x:f>
        <x:v>94.57227</x:v>
      </x:c>
      <x:c r="J6" s="54" t="n">
        <x:f>'Исходные данные'!$H$6</x:f>
        <x:v>94.57227</x:v>
      </x:c>
      <x:c r="K6" s="54" t="n">
        <x:f>'Исходные данные'!$H$6</x:f>
        <x:v>94.57227</x:v>
      </x:c>
      <x:c r="L6" s="54" t="n">
        <x:f>'Исходные данные'!$H$6</x:f>
        <x:v>94.57227</x:v>
      </x:c>
      <x:c r="M6" s="54" t="n">
        <x:f>'Исходные данные'!$H$6</x:f>
        <x:v>94.57227</x:v>
      </x:c>
    </x:row>
    <x:row r="7">
      <x:c r="A7" s="45" t="str">
        <x:v>Starter revenue</x:v>
      </x:c>
      <x:c r="B7" s="54" t="n">
        <x:f>B5*B6</x:f>
        <x:v>189.14454</x:v>
      </x:c>
      <x:c r="C7" s="54" t="n">
        <x:f>C5*C6</x:f>
        <x:v>567.43362</x:v>
      </x:c>
      <x:c r="D7" s="54" t="n">
        <x:f>D5*D6</x:f>
        <x:v>1513.15632</x:v>
      </x:c>
      <x:c r="E7" s="54" t="n">
        <x:f>E5*E6</x:f>
        <x:v>3120.88491</x:v>
      </x:c>
      <x:c r="F7" s="54" t="n">
        <x:f>F5*F6</x:f>
        <x:v>6241.76982</x:v>
      </x:c>
      <x:c r="G7" s="54" t="n">
        <x:f>G5*G6</x:f>
        <x:v>12294.3951</x:v>
      </x:c>
      <x:c r="H7" s="54" t="n">
        <x:f>H5*H6</x:f>
        <x:v>22035.338910000002</x:v>
      </x:c>
      <x:c r="I7" s="54" t="n">
        <x:f>I5*I6</x:f>
        <x:v>37923.48027</x:v>
      </x:c>
      <x:c r="J7" s="54" t="n">
        <x:f>J5*J6</x:f>
        <x:v>59769.674640000005</x:v>
      </x:c>
      <x:c r="K7" s="54" t="n">
        <x:f>K5*K6</x:f>
        <x:v>90411.09012000001</x:v>
      </x:c>
      <x:c r="L7" s="54" t="n">
        <x:f>L5*L6</x:f>
        <x:v>128050.85358000001</x:v>
      </x:c>
      <x:c r="M7" s="54" t="n">
        <x:f>M5*M6</x:f>
        <x:v>172688.96502</x:v>
      </x:c>
    </x:row>
    <x:row r="8">
      <x:c r="A8" s="45" t="str">
        <x:v>Pro EOM</x:v>
      </x:c>
      <x:c r="B8" s="62" t="n">
        <x:f>'Конверсии по тарифам'!B21</x:f>
        <x:v>1</x:v>
      </x:c>
      <x:c r="C8" s="62" t="n">
        <x:f>'Конверсии по тарифам'!C21</x:f>
        <x:v>2</x:v>
      </x:c>
      <x:c r="D8" s="62" t="n">
        <x:f>'Конверсии по тарифам'!D21</x:f>
        <x:v>6</x:v>
      </x:c>
      <x:c r="E8" s="62" t="n">
        <x:f>'Конверсии по тарифам'!E21</x:f>
        <x:v>13</x:v>
      </x:c>
      <x:c r="F8" s="62" t="n">
        <x:f>'Конверсии по тарифам'!F21</x:f>
        <x:v>29</x:v>
      </x:c>
      <x:c r="G8" s="62" t="n">
        <x:f>'Конверсии по тарифам'!G21</x:f>
        <x:v>58</x:v>
      </x:c>
      <x:c r="H8" s="62" t="n">
        <x:f>'Конверсии по тарифам'!H21</x:f>
        <x:v>106</x:v>
      </x:c>
      <x:c r="I8" s="62" t="n">
        <x:f>'Конверсии по тарифам'!I21</x:f>
        <x:v>186</x:v>
      </x:c>
      <x:c r="J8" s="62" t="n">
        <x:f>'Конверсии по тарифам'!J21</x:f>
        <x:v>305</x:v>
      </x:c>
      <x:c r="K8" s="62" t="n">
        <x:f>'Конверсии по тарифам'!K21</x:f>
        <x:v>482</x:v>
      </x:c>
      <x:c r="L8" s="62" t="n">
        <x:f>'Конверсии по тарифам'!L21</x:f>
        <x:v>717</x:v>
      </x:c>
      <x:c r="M8" s="62" t="n">
        <x:f>'Конверсии по тарифам'!M21</x:f>
        <x:v>1018</x:v>
      </x:c>
    </x:row>
    <x:row r="9">
      <x:c r="A9" s="45" t="str">
        <x:v>Pro price RUB</x:v>
      </x:c>
      <x:c r="B9" s="54" t="n">
        <x:f>'Исходные данные'!$H$7</x:f>
        <x:v>189.14454</x:v>
      </x:c>
      <x:c r="C9" s="54" t="n">
        <x:f>'Исходные данные'!$H$7</x:f>
        <x:v>189.14454</x:v>
      </x:c>
      <x:c r="D9" s="54" t="n">
        <x:f>'Исходные данные'!$H$7</x:f>
        <x:v>189.14454</x:v>
      </x:c>
      <x:c r="E9" s="54" t="n">
        <x:f>'Исходные данные'!$H$7</x:f>
        <x:v>189.14454</x:v>
      </x:c>
      <x:c r="F9" s="54" t="n">
        <x:f>'Исходные данные'!$H$7</x:f>
        <x:v>189.14454</x:v>
      </x:c>
      <x:c r="G9" s="54" t="n">
        <x:f>'Исходные данные'!$H$7</x:f>
        <x:v>189.14454</x:v>
      </x:c>
      <x:c r="H9" s="54" t="n">
        <x:f>'Исходные данные'!$H$7</x:f>
        <x:v>189.14454</x:v>
      </x:c>
      <x:c r="I9" s="54" t="n">
        <x:f>'Исходные данные'!$H$7</x:f>
        <x:v>189.14454</x:v>
      </x:c>
      <x:c r="J9" s="54" t="n">
        <x:f>'Исходные данные'!$H$7</x:f>
        <x:v>189.14454</x:v>
      </x:c>
      <x:c r="K9" s="54" t="n">
        <x:f>'Исходные данные'!$H$7</x:f>
        <x:v>189.14454</x:v>
      </x:c>
      <x:c r="L9" s="54" t="n">
        <x:f>'Исходные данные'!$H$7</x:f>
        <x:v>189.14454</x:v>
      </x:c>
      <x:c r="M9" s="54" t="n">
        <x:f>'Исходные данные'!$H$7</x:f>
        <x:v>189.14454</x:v>
      </x:c>
    </x:row>
    <x:row r="10">
      <x:c r="A10" s="45" t="str">
        <x:v>Pro revenue</x:v>
      </x:c>
      <x:c r="B10" s="54" t="n">
        <x:f>B8*B9</x:f>
        <x:v>189.14454</x:v>
      </x:c>
      <x:c r="C10" s="54" t="n">
        <x:f>C8*C9</x:f>
        <x:v>378.28908</x:v>
      </x:c>
      <x:c r="D10" s="54" t="n">
        <x:f>D8*D9</x:f>
        <x:v>1134.86724</x:v>
      </x:c>
      <x:c r="E10" s="54" t="n">
        <x:f>E8*E9</x:f>
        <x:v>2458.8790200000003</x:v>
      </x:c>
      <x:c r="F10" s="54" t="n">
        <x:f>F8*F9</x:f>
        <x:v>5485.19166</x:v>
      </x:c>
      <x:c r="G10" s="54" t="n">
        <x:f>G8*G9</x:f>
        <x:v>10970.38332</x:v>
      </x:c>
      <x:c r="H10" s="54" t="n">
        <x:f>H8*H9</x:f>
        <x:v>20049.32124</x:v>
      </x:c>
      <x:c r="I10" s="54" t="n">
        <x:f>I8*I9</x:f>
        <x:v>35180.88444</x:v>
      </x:c>
      <x:c r="J10" s="54" t="n">
        <x:f>J8*J9</x:f>
        <x:v>57689.0847</x:v>
      </x:c>
      <x:c r="K10" s="54" t="n">
        <x:f>K8*K9</x:f>
        <x:v>91167.66828</x:v>
      </x:c>
      <x:c r="L10" s="54" t="n">
        <x:f>L8*L9</x:f>
        <x:v>135616.63518</x:v>
      </x:c>
      <x:c r="M10" s="54" t="n">
        <x:f>M8*M9</x:f>
        <x:v>192549.14172</x:v>
      </x:c>
    </x:row>
    <x:row r="11">
      <x:c r="A11" s="45" t="str">
        <x:v>MAX EOM</x:v>
      </x:c>
      <x:c r="B11" s="62" t="n">
        <x:f>'Конверсии по тарифам'!B24</x:f>
        <x:v>0</x:v>
      </x:c>
      <x:c r="C11" s="62" t="n">
        <x:f>'Конверсии по тарифам'!C24</x:f>
        <x:v>0</x:v>
      </x:c>
      <x:c r="D11" s="62" t="n">
        <x:f>'Конверсии по тарифам'!D24</x:f>
        <x:v>0</x:v>
      </x:c>
      <x:c r="E11" s="62" t="n">
        <x:f>'Конверсии по тарифам'!E24</x:f>
        <x:v>1</x:v>
      </x:c>
      <x:c r="F11" s="62" t="n">
        <x:f>'Конверсии по тарифам'!F24</x:f>
        <x:v>3</x:v>
      </x:c>
      <x:c r="G11" s="62" t="n">
        <x:f>'Конверсии по тарифам'!G24</x:f>
        <x:v>7</x:v>
      </x:c>
      <x:c r="H11" s="62" t="n">
        <x:f>'Конверсии по тарифам'!H24</x:f>
        <x:v>14</x:v>
      </x:c>
      <x:c r="I11" s="62" t="n">
        <x:f>'Конверсии по тарифам'!I24</x:f>
        <x:v>26</x:v>
      </x:c>
      <x:c r="J11" s="62" t="n">
        <x:f>'Конверсии по тарифам'!J24</x:f>
        <x:v>44</x:v>
      </x:c>
      <x:c r="K11" s="62" t="n">
        <x:f>'Конверсии по тарифам'!K24</x:f>
        <x:v>72</x:v>
      </x:c>
      <x:c r="L11" s="62" t="n">
        <x:f>'Конверсии по тарифам'!L24</x:f>
        <x:v>114</x:v>
      </x:c>
      <x:c r="M11" s="62" t="n">
        <x:f>'Конверсии по тарифам'!M24</x:f>
        <x:v>169</x:v>
      </x:c>
    </x:row>
    <x:row r="12">
      <x:c r="A12" s="45" t="str">
        <x:v>MAX price RUB</x:v>
      </x:c>
      <x:c r="B12" s="54" t="n">
        <x:f>'Исходные данные'!$H$8</x:f>
        <x:v>378.28908</x:v>
      </x:c>
      <x:c r="C12" s="54" t="n">
        <x:f>'Исходные данные'!$H$8</x:f>
        <x:v>378.28908</x:v>
      </x:c>
      <x:c r="D12" s="54" t="n">
        <x:f>'Исходные данные'!$H$8</x:f>
        <x:v>378.28908</x:v>
      </x:c>
      <x:c r="E12" s="54" t="n">
        <x:f>'Исходные данные'!$H$8</x:f>
        <x:v>378.28908</x:v>
      </x:c>
      <x:c r="F12" s="54" t="n">
        <x:f>'Исходные данные'!$H$8</x:f>
        <x:v>378.28908</x:v>
      </x:c>
      <x:c r="G12" s="54" t="n">
        <x:f>'Исходные данные'!$H$8</x:f>
        <x:v>378.28908</x:v>
      </x:c>
      <x:c r="H12" s="54" t="n">
        <x:f>'Исходные данные'!$H$8</x:f>
        <x:v>378.28908</x:v>
      </x:c>
      <x:c r="I12" s="54" t="n">
        <x:f>'Исходные данные'!$H$8</x:f>
        <x:v>378.28908</x:v>
      </x:c>
      <x:c r="J12" s="54" t="n">
        <x:f>'Исходные данные'!$H$8</x:f>
        <x:v>378.28908</x:v>
      </x:c>
      <x:c r="K12" s="54" t="n">
        <x:f>'Исходные данные'!$H$8</x:f>
        <x:v>378.28908</x:v>
      </x:c>
      <x:c r="L12" s="54" t="n">
        <x:f>'Исходные данные'!$H$8</x:f>
        <x:v>378.28908</x:v>
      </x:c>
      <x:c r="M12" s="54" t="n">
        <x:f>'Исходные данные'!$H$8</x:f>
        <x:v>378.28908</x:v>
      </x:c>
    </x:row>
    <x:row r="13">
      <x:c r="A13" s="45" t="str">
        <x:v>MAX revenue</x:v>
      </x:c>
      <x:c r="B13" s="54" t="n">
        <x:f>B11*B12</x:f>
        <x:v>0</x:v>
      </x:c>
      <x:c r="C13" s="54" t="n">
        <x:f>C11*C12</x:f>
        <x:v>0</x:v>
      </x:c>
      <x:c r="D13" s="54" t="n">
        <x:f>D11*D12</x:f>
        <x:v>0</x:v>
      </x:c>
      <x:c r="E13" s="54" t="n">
        <x:f>E11*E12</x:f>
        <x:v>378.28908</x:v>
      </x:c>
      <x:c r="F13" s="54" t="n">
        <x:f>F11*F12</x:f>
        <x:v>1134.86724</x:v>
      </x:c>
      <x:c r="G13" s="54" t="n">
        <x:f>G11*G12</x:f>
        <x:v>2648.02356</x:v>
      </x:c>
      <x:c r="H13" s="54" t="n">
        <x:f>H11*H12</x:f>
        <x:v>5296.04712</x:v>
      </x:c>
      <x:c r="I13" s="54" t="n">
        <x:f>I11*I12</x:f>
        <x:v>9835.516080000001</x:v>
      </x:c>
      <x:c r="J13" s="54" t="n">
        <x:f>J11*J12</x:f>
        <x:v>16644.71952</x:v>
      </x:c>
      <x:c r="K13" s="54" t="n">
        <x:f>K11*K12</x:f>
        <x:v>27236.81376</x:v>
      </x:c>
      <x:c r="L13" s="54" t="n">
        <x:f>L11*L12</x:f>
        <x:v>43124.95512</x:v>
      </x:c>
      <x:c r="M13" s="54" t="n">
        <x:f>M11*M12</x:f>
        <x:v>63930.85452</x:v>
      </x:c>
    </x:row>
    <x:row r="14">
      <x:c r="A14" s="45" t="str">
        <x:v>Подписочная выручка</x:v>
      </x:c>
      <x:c r="B14" s="54" t="n">
        <x:f>B7+B10+B13</x:f>
        <x:v>378.28908</x:v>
      </x:c>
      <x:c r="C14" s="54" t="n">
        <x:f>C7+C10+C13</x:f>
        <x:v>945.7227</x:v>
      </x:c>
      <x:c r="D14" s="54" t="n">
        <x:f>D7+D10+D13</x:f>
        <x:v>2648.02356</x:v>
      </x:c>
      <x:c r="E14" s="54" t="n">
        <x:f>E7+E10+E13</x:f>
        <x:v>5958.053010000001</x:v>
      </x:c>
      <x:c r="F14" s="54" t="n">
        <x:f>F7+F10+F13</x:f>
        <x:v>12861.828720000001</x:v>
      </x:c>
      <x:c r="G14" s="54" t="n">
        <x:f>G7+G10+G13</x:f>
        <x:v>25912.801980000004</x:v>
      </x:c>
      <x:c r="H14" s="54" t="n">
        <x:f>H7+H10+H13</x:f>
        <x:v>47380.707270000006</x:v>
      </x:c>
      <x:c r="I14" s="54" t="n">
        <x:f>I7+I10+I13</x:f>
        <x:v>82939.88079</x:v>
      </x:c>
      <x:c r="J14" s="54" t="n">
        <x:f>J7+J10+J13</x:f>
        <x:v>134103.47886</x:v>
      </x:c>
      <x:c r="K14" s="54" t="n">
        <x:f>K7+K10+K13</x:f>
        <x:v>208815.57215999998</x:v>
      </x:c>
      <x:c r="L14" s="54" t="n">
        <x:f>L7+L10+L13</x:f>
        <x:v>306792.44388000004</x:v>
      </x:c>
      <x:c r="M14" s="54" t="n">
        <x:f>M7+M10+M13</x:f>
        <x:v>429168.96126</x:v>
      </x:c>
    </x:row>
    <x:row r="15">
      <x:c r="A15" s="45" t="str">
        <x:v>Доп. продажи токенов %</x:v>
      </x:c>
      <x:c r="B15" s="63" t="n">
        <x:f>'Исходные данные'!$B$26</x:f>
        <x:v>0.05</x:v>
      </x:c>
      <x:c r="C15" s="63" t="n">
        <x:f>'Исходные данные'!$B$26</x:f>
        <x:v>0.05</x:v>
      </x:c>
      <x:c r="D15" s="63" t="n">
        <x:f>'Исходные данные'!$B$26</x:f>
        <x:v>0.05</x:v>
      </x:c>
      <x:c r="E15" s="63" t="n">
        <x:f>'Исходные данные'!$B$26</x:f>
        <x:v>0.05</x:v>
      </x:c>
      <x:c r="F15" s="63" t="n">
        <x:f>'Исходные данные'!$B$26</x:f>
        <x:v>0.05</x:v>
      </x:c>
      <x:c r="G15" s="63" t="n">
        <x:f>'Исходные данные'!$B$26</x:f>
        <x:v>0.05</x:v>
      </x:c>
      <x:c r="H15" s="63" t="n">
        <x:f>'Исходные данные'!$B$26</x:f>
        <x:v>0.05</x:v>
      </x:c>
      <x:c r="I15" s="63" t="n">
        <x:f>'Исходные данные'!$B$26</x:f>
        <x:v>0.05</x:v>
      </x:c>
      <x:c r="J15" s="63" t="n">
        <x:f>'Исходные данные'!$B$26</x:f>
        <x:v>0.05</x:v>
      </x:c>
      <x:c r="K15" s="63" t="n">
        <x:f>'Исходные данные'!$B$26</x:f>
        <x:v>0.05</x:v>
      </x:c>
      <x:c r="L15" s="63" t="n">
        <x:f>'Исходные данные'!$B$26</x:f>
        <x:v>0.05</x:v>
      </x:c>
      <x:c r="M15" s="63" t="n">
        <x:f>'Исходные данные'!$B$26</x:f>
        <x:v>0.05</x:v>
      </x:c>
    </x:row>
    <x:row r="16">
      <x:c r="A16" s="45" t="str">
        <x:v>Доп. продажи токенов</x:v>
      </x:c>
      <x:c r="B16" s="54" t="n">
        <x:f>B14*B15</x:f>
        <x:v>18.914454000000003</x:v>
      </x:c>
      <x:c r="C16" s="54" t="n">
        <x:f>C14*C15</x:f>
        <x:v>47.286135</x:v>
      </x:c>
      <x:c r="D16" s="54" t="n">
        <x:f>D14*D15</x:f>
        <x:v>132.40117800000002</x:v>
      </x:c>
      <x:c r="E16" s="54" t="n">
        <x:f>E14*E15</x:f>
        <x:v>297.9026505000001</x:v>
      </x:c>
      <x:c r="F16" s="54" t="n">
        <x:f>F14*F15</x:f>
        <x:v>643.0914360000002</x:v>
      </x:c>
      <x:c r="G16" s="54" t="n">
        <x:f>G14*G15</x:f>
        <x:v>1295.6400990000002</x:v>
      </x:c>
      <x:c r="H16" s="54" t="n">
        <x:f>H14*H15</x:f>
        <x:v>2369.0353635000006</x:v>
      </x:c>
      <x:c r="I16" s="54" t="n">
        <x:f>I14*I15</x:f>
        <x:v>4146.9940395</x:v>
      </x:c>
      <x:c r="J16" s="54" t="n">
        <x:f>J14*J15</x:f>
        <x:v>6705.173943000001</x:v>
      </x:c>
      <x:c r="K16" s="54" t="n">
        <x:f>K14*K15</x:f>
        <x:v>10440.778608</x:v>
      </x:c>
      <x:c r="L16" s="54" t="n">
        <x:f>L14*L15</x:f>
        <x:v>15339.622194000003</x:v>
      </x:c>
      <x:c r="M16" s="54" t="n">
        <x:f>M14*M15</x:f>
        <x:v>21458.448063000003</x:v>
      </x:c>
    </x:row>
    <x:row r="17">
      <x:c r="A17" s="45" t="str">
        <x:v>Total Revenue / MRR</x:v>
      </x:c>
      <x:c r="B17" s="54" t="n">
        <x:f>B14+B16</x:f>
        <x:v>397.203534</x:v>
      </x:c>
      <x:c r="C17" s="54" t="n">
        <x:f>C14+C16</x:f>
        <x:v>993.0088350000001</x:v>
      </x:c>
      <x:c r="D17" s="54" t="n">
        <x:f>D14+D16</x:f>
        <x:v>2780.424738</x:v>
      </x:c>
      <x:c r="E17" s="54" t="n">
        <x:f>E14+E16</x:f>
        <x:v>6255.955660500002</x:v>
      </x:c>
      <x:c r="F17" s="54" t="n">
        <x:f>F14+F16</x:f>
        <x:v>13504.920156000002</x:v>
      </x:c>
      <x:c r="G17" s="54" t="n">
        <x:f>G14+G16</x:f>
        <x:v>27208.442079000004</x:v>
      </x:c>
      <x:c r="H17" s="54" t="n">
        <x:f>H14+H16</x:f>
        <x:v>49749.742633500005</x:v>
      </x:c>
      <x:c r="I17" s="54" t="n">
        <x:f>I14+I16</x:f>
        <x:v>87086.8748295</x:v>
      </x:c>
      <x:c r="J17" s="54" t="n">
        <x:f>J14+J16</x:f>
        <x:v>140808.652803</x:v>
      </x:c>
      <x:c r="K17" s="54" t="n">
        <x:f>K14+K16</x:f>
        <x:v>219256.35076799997</x:v>
      </x:c>
      <x:c r="L17" s="54" t="n">
        <x:f>L14+L16</x:f>
        <x:v>322132.06607400003</x:v>
      </x:c>
      <x:c r="M17" s="54" t="n">
        <x:f>M14+M16</x:f>
        <x:v>450627.409323</x:v>
      </x:c>
    </x:row>
    <x:row r="18">
      <x:c r="A18" s="45" t="str">
        <x:v>Cumulative Revenue</x:v>
      </x:c>
      <x:c r="B18" s="54" t="n">
        <x:f>B17</x:f>
        <x:v>397.203534</x:v>
      </x:c>
      <x:c r="C18" s="54" t="n">
        <x:f>B18+C17</x:f>
        <x:v>1390.212369</x:v>
      </x:c>
      <x:c r="D18" s="54" t="n">
        <x:f>C18+D17</x:f>
        <x:v>4170.6371070000005</x:v>
      </x:c>
      <x:c r="E18" s="54" t="n">
        <x:f>D18+E17</x:f>
        <x:v>10426.592767500002</x:v>
      </x:c>
      <x:c r="F18" s="54" t="n">
        <x:f>E18+F17</x:f>
        <x:v>23931.512923500006</x:v>
      </x:c>
      <x:c r="G18" s="54" t="n">
        <x:f>F18+G17</x:f>
        <x:v>51139.955002500006</x:v>
      </x:c>
      <x:c r="H18" s="54" t="n">
        <x:f>G18+H17</x:f>
        <x:v>100889.69763600001</x:v>
      </x:c>
      <x:c r="I18" s="54" t="n">
        <x:f>H18+I17</x:f>
        <x:v>187976.5724655</x:v>
      </x:c>
      <x:c r="J18" s="54" t="n">
        <x:f>I18+J17</x:f>
        <x:v>328785.22526850004</x:v>
      </x:c>
      <x:c r="K18" s="54" t="n">
        <x:f>J18+K17</x:f>
        <x:v>548041.5760365</x:v>
      </x:c>
      <x:c r="L18" s="54" t="n">
        <x:f>K18+L17</x:f>
        <x:v>870173.6421105</x:v>
      </x:c>
      <x:c r="M18" s="54" t="n">
        <x:f>L18+M17</x:f>
        <x:v>1320801.0514335</x:v>
      </x:c>
    </x:row>
    <x:row r="19">
      <x:c r="A19" s="42"/>
      <x:c r="B19" s="42"/>
      <x:c r="C19" s="42"/>
      <x:c r="D19" s="42"/>
      <x:c r="E19" s="42"/>
      <x:c r="F19" s="42"/>
      <x:c r="G19" s="42"/>
      <x:c r="H19" s="42"/>
      <x:c r="I19" s="42"/>
      <x:c r="J19" s="42"/>
      <x:c r="K19" s="42"/>
      <x:c r="L19" s="42"/>
      <x:c r="M19" s="42"/>
    </x:row>
    <x:row r="20">
      <x:c r="A20" s="42"/>
      <x:c r="B20" s="42"/>
      <x:c r="C20" s="42"/>
      <x:c r="D20" s="42"/>
      <x:c r="E20" s="42"/>
      <x:c r="F20" s="42"/>
      <x:c r="G20" s="42"/>
      <x:c r="H20" s="42"/>
      <x:c r="I20" s="42"/>
      <x:c r="J20" s="42"/>
      <x:c r="K20" s="42"/>
      <x:c r="L20" s="42"/>
      <x:c r="M20" s="42"/>
    </x:row>
    <x:row r="21">
      <x:c r="A21" s="42"/>
      <x:c r="B21" s="42"/>
      <x:c r="C21" s="42"/>
      <x:c r="D21" s="42"/>
      <x:c r="E21" s="42"/>
      <x:c r="F21" s="42"/>
      <x:c r="G21" s="42"/>
      <x:c r="H21" s="42"/>
      <x:c r="I21" s="42"/>
      <x:c r="J21" s="42"/>
      <x:c r="K21" s="42"/>
      <x:c r="L21" s="42"/>
      <x:c r="M21" s="42"/>
    </x:row>
    <x:row r="22">
      <x:c r="A22" s="42"/>
      <x:c r="B22" s="42"/>
      <x:c r="C22" s="42"/>
      <x:c r="D22" s="42"/>
      <x:c r="E22" s="42"/>
      <x:c r="F22" s="42"/>
      <x:c r="G22" s="42"/>
      <x:c r="H22" s="42"/>
      <x:c r="I22" s="42"/>
      <x:c r="J22" s="42"/>
      <x:c r="K22" s="42"/>
      <x:c r="L22" s="42"/>
      <x:c r="M22" s="42"/>
    </x:row>
    <x:row r="23">
      <x:c r="A23" s="42"/>
      <x:c r="B23" s="42"/>
      <x:c r="C23" s="42"/>
      <x:c r="D23" s="42"/>
      <x:c r="E23" s="42"/>
      <x:c r="F23" s="42"/>
      <x:c r="G23" s="42"/>
      <x:c r="H23" s="42"/>
      <x:c r="I23" s="42"/>
      <x:c r="J23" s="42"/>
      <x:c r="K23" s="42"/>
      <x:c r="L23" s="42"/>
      <x:c r="M23" s="42"/>
    </x:row>
    <x:row r="24">
      <x:c r="A24" s="42"/>
      <x:c r="B24" s="42"/>
      <x:c r="C24" s="42"/>
      <x:c r="D24" s="42"/>
      <x:c r="E24" s="42"/>
      <x:c r="F24" s="42"/>
      <x:c r="G24" s="42"/>
      <x:c r="H24" s="42"/>
      <x:c r="I24" s="42"/>
      <x:c r="J24" s="42"/>
      <x:c r="K24" s="42"/>
      <x:c r="L24" s="42"/>
      <x:c r="M24" s="42"/>
    </x:row>
    <x:row r="25">
      <x:c r="A25" s="42"/>
      <x:c r="B25" s="42"/>
      <x:c r="C25" s="42"/>
      <x:c r="D25" s="42"/>
      <x:c r="E25" s="42"/>
      <x:c r="F25" s="42"/>
      <x:c r="G25" s="42"/>
      <x:c r="H25" s="42"/>
      <x:c r="I25" s="42"/>
      <x:c r="J25" s="42"/>
      <x:c r="K25" s="42"/>
      <x:c r="L25" s="42"/>
      <x:c r="M25" s="42"/>
    </x:row>
    <x:row r="26">
      <x:c r="A26" s="42"/>
      <x:c r="B26" s="42"/>
      <x:c r="C26" s="42"/>
      <x:c r="D26" s="42"/>
      <x:c r="E26" s="42"/>
      <x:c r="F26" s="42"/>
      <x:c r="G26" s="42"/>
      <x:c r="H26" s="42"/>
      <x:c r="I26" s="42"/>
      <x:c r="J26" s="42"/>
      <x:c r="K26" s="42"/>
      <x:c r="L26" s="42"/>
      <x:c r="M26" s="42"/>
    </x:row>
    <x:row r="27">
      <x:c r="A27" s="42"/>
      <x:c r="B27" s="42"/>
      <x:c r="C27" s="42"/>
      <x:c r="D27" s="42"/>
      <x:c r="E27" s="42"/>
      <x:c r="F27" s="42"/>
      <x:c r="G27" s="42"/>
      <x:c r="H27" s="42"/>
      <x:c r="I27" s="42"/>
      <x:c r="J27" s="42"/>
      <x:c r="K27" s="42"/>
      <x:c r="L27" s="42"/>
      <x:c r="M27" s="42"/>
    </x:row>
    <x:row r="28">
      <x:c r="A28" s="42"/>
      <x:c r="B28" s="42"/>
      <x:c r="C28" s="42"/>
      <x:c r="D28" s="42"/>
      <x:c r="E28" s="42"/>
      <x:c r="F28" s="42"/>
      <x:c r="G28" s="42"/>
      <x:c r="H28" s="42"/>
      <x:c r="I28" s="42"/>
      <x:c r="J28" s="42"/>
      <x:c r="K28" s="42"/>
      <x:c r="L28" s="42"/>
      <x:c r="M28" s="42"/>
    </x:row>
    <x:row r="29">
      <x:c r="A29" s="42"/>
      <x:c r="B29" s="42"/>
      <x:c r="C29" s="42"/>
      <x:c r="D29" s="42"/>
      <x:c r="E29" s="42"/>
      <x:c r="F29" s="42"/>
      <x:c r="G29" s="42"/>
      <x:c r="H29" s="42"/>
      <x:c r="I29" s="42"/>
      <x:c r="J29" s="42"/>
      <x:c r="K29" s="42"/>
      <x:c r="L29" s="42"/>
      <x:c r="M29" s="42"/>
    </x:row>
    <x:row r="30">
      <x:c r="A30" s="42"/>
      <x:c r="B30" s="42"/>
      <x:c r="C30" s="42"/>
      <x:c r="D30" s="42"/>
      <x:c r="E30" s="42"/>
      <x:c r="F30" s="42"/>
      <x:c r="G30" s="42"/>
      <x:c r="H30" s="42"/>
      <x:c r="I30" s="42"/>
      <x:c r="J30" s="42"/>
      <x:c r="K30" s="42"/>
      <x:c r="L30" s="42"/>
      <x:c r="M30" s="42"/>
    </x:row>
    <x:row r="31">
      <x:c r="A31" s="42"/>
      <x:c r="B31" s="42"/>
      <x:c r="C31" s="42"/>
      <x:c r="D31" s="42"/>
      <x:c r="E31" s="42"/>
      <x:c r="F31" s="42"/>
      <x:c r="G31" s="42"/>
      <x:c r="H31" s="42"/>
      <x:c r="I31" s="42"/>
      <x:c r="J31" s="42"/>
      <x:c r="K31" s="42"/>
      <x:c r="L31" s="42"/>
      <x:c r="M31" s="42"/>
    </x:row>
    <x:row r="32">
      <x:c r="A32" s="42"/>
      <x:c r="B32" s="42"/>
      <x:c r="C32" s="42"/>
      <x:c r="D32" s="42"/>
      <x:c r="E32" s="42"/>
      <x:c r="F32" s="42"/>
      <x:c r="G32" s="42"/>
      <x:c r="H32" s="42"/>
      <x:c r="I32" s="42"/>
      <x:c r="J32" s="42"/>
      <x:c r="K32" s="42"/>
      <x:c r="L32" s="42"/>
      <x:c r="M32" s="42"/>
    </x:row>
    <x:row r="33">
      <x:c r="A33" s="42"/>
      <x:c r="B33" s="42"/>
      <x:c r="C33" s="42"/>
      <x:c r="D33" s="42"/>
      <x:c r="E33" s="42"/>
      <x:c r="F33" s="42"/>
      <x:c r="G33" s="42"/>
      <x:c r="H33" s="42"/>
      <x:c r="I33" s="42"/>
      <x:c r="J33" s="42"/>
      <x:c r="K33" s="42"/>
      <x:c r="L33" s="42"/>
      <x:c r="M33" s="42"/>
    </x:row>
    <x:row r="34">
      <x:c r="A34" s="42"/>
      <x:c r="B34" s="42"/>
      <x:c r="C34" s="42"/>
      <x:c r="D34" s="42"/>
      <x:c r="E34" s="42"/>
      <x:c r="F34" s="42"/>
      <x:c r="G34" s="42"/>
      <x:c r="H34" s="42"/>
      <x:c r="I34" s="42"/>
      <x:c r="J34" s="42"/>
      <x:c r="K34" s="42"/>
      <x:c r="L34" s="42"/>
      <x:c r="M34" s="42"/>
    </x:row>
    <x:row r="35">
      <x:c r="A35" s="42"/>
      <x:c r="B35" s="42"/>
      <x:c r="C35" s="42"/>
      <x:c r="D35" s="42"/>
      <x:c r="E35" s="42"/>
      <x:c r="F35" s="42"/>
      <x:c r="G35" s="42"/>
      <x:c r="H35" s="42"/>
      <x:c r="I35" s="42"/>
      <x:c r="J35" s="42"/>
      <x:c r="K35" s="42"/>
      <x:c r="L35" s="42"/>
      <x:c r="M35" s="42"/>
    </x:row>
    <x:row r="36">
      <x:c r="A36" s="42"/>
      <x:c r="B36" s="42"/>
      <x:c r="C36" s="42"/>
      <x:c r="D36" s="42"/>
      <x:c r="E36" s="42"/>
      <x:c r="F36" s="42"/>
      <x:c r="G36" s="42"/>
      <x:c r="H36" s="42"/>
      <x:c r="I36" s="42"/>
      <x:c r="J36" s="42"/>
      <x:c r="K36" s="42"/>
      <x:c r="L36" s="42"/>
      <x:c r="M36" s="42"/>
    </x:row>
    <x:row r="37">
      <x:c r="A37" s="42"/>
      <x:c r="B37" s="42"/>
      <x:c r="C37" s="42"/>
      <x:c r="D37" s="42"/>
      <x:c r="E37" s="42"/>
      <x:c r="F37" s="42"/>
      <x:c r="G37" s="42"/>
      <x:c r="H37" s="42"/>
      <x:c r="I37" s="42"/>
      <x:c r="J37" s="42"/>
      <x:c r="K37" s="42"/>
      <x:c r="L37" s="42"/>
      <x:c r="M37" s="42"/>
    </x:row>
    <x:row r="38">
      <x:c r="A38" s="42"/>
      <x:c r="B38" s="42"/>
      <x:c r="C38" s="42"/>
      <x:c r="D38" s="42"/>
      <x:c r="E38" s="42"/>
      <x:c r="F38" s="42"/>
      <x:c r="G38" s="42"/>
      <x:c r="H38" s="42"/>
      <x:c r="I38" s="42"/>
      <x:c r="J38" s="42"/>
      <x:c r="K38" s="42"/>
      <x:c r="L38" s="42"/>
      <x:c r="M38" s="42"/>
    </x:row>
    <x:row r="39">
      <x:c r="A39" s="42"/>
      <x:c r="B39" s="42"/>
      <x:c r="C39" s="42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</x:row>
    <x:row r="40">
      <x:c r="A40" s="42"/>
      <x:c r="B40" s="42"/>
      <x:c r="C40" s="42"/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</x:row>
    <x:row r="41">
      <x:c r="A41" s="42"/>
      <x:c r="B41" s="42"/>
      <x:c r="C41" s="42"/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</x:row>
    <x:row r="42">
      <x:c r="A42" s="42"/>
      <x:c r="B42" s="42"/>
      <x:c r="C42" s="42"/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</x:row>
    <x:row r="43">
      <x:c r="A43" s="42"/>
      <x:c r="B43" s="42"/>
      <x:c r="C43" s="42"/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</x:row>
    <x:row r="44">
      <x:c r="A44" s="42"/>
      <x:c r="B44" s="42"/>
      <x:c r="C44" s="42"/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</x:row>
    <x:row r="45">
      <x:c r="A45" s="42"/>
      <x:c r="B45" s="42"/>
      <x:c r="C45" s="42"/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</x:row>
    <x:row r="46">
      <x:c r="A46" s="42"/>
      <x:c r="B46" s="42"/>
      <x:c r="C46" s="42"/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</x:row>
    <x:row r="47">
      <x:c r="A47" s="42"/>
      <x:c r="B47" s="42"/>
      <x:c r="C47" s="42"/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</x:row>
    <x:row r="48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</x:row>
    <x:row r="49">
      <x:c r="A49" s="42"/>
      <x:c r="B49" s="42"/>
      <x:c r="C49" s="42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</x:row>
    <x:row r="50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</x:row>
    <x:row r="51">
      <x:c r="A51" s="42"/>
      <x:c r="B51" s="42"/>
      <x:c r="C51" s="42"/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</x:row>
    <x:row r="52">
      <x:c r="A52" s="42"/>
      <x:c r="B52" s="42"/>
      <x:c r="C52" s="42"/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</x:row>
    <x:row r="53">
      <x:c r="A53" s="42"/>
      <x:c r="B53" s="42"/>
      <x:c r="C53" s="42"/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</x:row>
    <x:row r="54">
      <x:c r="A54" s="42"/>
      <x:c r="B54" s="42"/>
      <x:c r="C54" s="42"/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</x:row>
    <x:row r="55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</x:row>
    <x:row r="56">
      <x:c r="A56" s="42"/>
      <x:c r="B56" s="42"/>
      <x:c r="C56" s="42"/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</x:row>
    <x:row r="57">
      <x:c r="A57" s="42"/>
      <x:c r="B57" s="42"/>
      <x:c r="C57" s="42"/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</x:row>
    <x:row r="58">
      <x:c r="A58" s="42"/>
      <x:c r="B58" s="42"/>
      <x:c r="C58" s="42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</x:row>
    <x:row r="59">
      <x:c r="A59" s="42"/>
      <x:c r="B59" s="42"/>
      <x:c r="C59" s="42"/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</x:row>
    <x:row r="60">
      <x:c r="A60" s="42"/>
      <x:c r="B60" s="42"/>
      <x:c r="C60" s="42"/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</x:row>
    <x:row r="61">
      <x:c r="A61" s="42"/>
      <x:c r="B61" s="42"/>
      <x:c r="C61" s="42"/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</x:row>
    <x:row r="62">
      <x:c r="A62" s="42"/>
      <x:c r="B62" s="42"/>
      <x:c r="C62" s="42"/>
      <x:c r="D62" s="42"/>
      <x:c r="E62" s="42"/>
      <x:c r="F62" s="42"/>
      <x:c r="G62" s="42"/>
      <x:c r="H62" s="42"/>
      <x:c r="I62" s="42"/>
      <x:c r="J62" s="42"/>
      <x:c r="K62" s="42"/>
      <x:c r="L62" s="42"/>
      <x:c r="M62" s="42"/>
    </x:row>
    <x:row r="63">
      <x:c r="A63" s="42"/>
      <x:c r="B63" s="42"/>
      <x:c r="C63" s="42"/>
      <x:c r="D63" s="42"/>
      <x:c r="E63" s="42"/>
      <x:c r="F63" s="42"/>
      <x:c r="G63" s="42"/>
      <x:c r="H63" s="42"/>
      <x:c r="I63" s="42"/>
      <x:c r="J63" s="42"/>
      <x:c r="K63" s="42"/>
      <x:c r="L63" s="42"/>
      <x:c r="M63" s="42"/>
    </x:row>
    <x:row r="64">
      <x:c r="A64" s="42"/>
      <x:c r="B64" s="42"/>
      <x:c r="C64" s="42"/>
      <x:c r="D64" s="42"/>
      <x:c r="E64" s="42"/>
      <x:c r="F64" s="42"/>
      <x:c r="G64" s="42"/>
      <x:c r="H64" s="42"/>
      <x:c r="I64" s="42"/>
      <x:c r="J64" s="42"/>
      <x:c r="K64" s="42"/>
      <x:c r="L64" s="42"/>
      <x:c r="M64" s="42"/>
    </x:row>
    <x:row r="65">
      <x:c r="A65" s="42"/>
      <x:c r="B65" s="42"/>
      <x:c r="C65" s="42"/>
      <x:c r="D65" s="42"/>
      <x:c r="E65" s="42"/>
      <x:c r="F65" s="42"/>
      <x:c r="G65" s="42"/>
      <x:c r="H65" s="42"/>
      <x:c r="I65" s="42"/>
      <x:c r="J65" s="42"/>
      <x:c r="K65" s="42"/>
      <x:c r="L65" s="42"/>
      <x:c r="M65" s="42"/>
    </x:row>
    <x:row r="66">
      <x:c r="A66" s="42"/>
      <x:c r="B66" s="42"/>
      <x:c r="C66" s="42"/>
      <x:c r="D66" s="42"/>
      <x:c r="E66" s="42"/>
      <x:c r="F66" s="42"/>
      <x:c r="G66" s="42"/>
      <x:c r="H66" s="42"/>
      <x:c r="I66" s="42"/>
      <x:c r="J66" s="42"/>
      <x:c r="K66" s="42"/>
      <x:c r="L66" s="42"/>
      <x:c r="M66" s="42"/>
    </x:row>
    <x:row r="67">
      <x:c r="A67" s="42"/>
      <x:c r="B67" s="42"/>
      <x:c r="C67" s="42"/>
      <x:c r="D67" s="42"/>
      <x:c r="E67" s="42"/>
      <x:c r="F67" s="42"/>
      <x:c r="G67" s="42"/>
      <x:c r="H67" s="42"/>
      <x:c r="I67" s="42"/>
      <x:c r="J67" s="42"/>
      <x:c r="K67" s="42"/>
      <x:c r="L67" s="42"/>
      <x:c r="M67" s="42"/>
    </x:row>
    <x:row r="68">
      <x:c r="A68" s="42"/>
      <x:c r="B68" s="42"/>
      <x:c r="C68" s="42"/>
      <x:c r="D68" s="42"/>
      <x:c r="E68" s="42"/>
      <x:c r="F68" s="42"/>
      <x:c r="G68" s="42"/>
      <x:c r="H68" s="42"/>
      <x:c r="I68" s="42"/>
      <x:c r="J68" s="42"/>
      <x:c r="K68" s="42"/>
      <x:c r="L68" s="42"/>
      <x:c r="M68" s="42"/>
    </x:row>
    <x:row r="69">
      <x:c r="A69" s="42"/>
      <x:c r="B69" s="42"/>
      <x:c r="C69" s="42"/>
      <x:c r="D69" s="42"/>
      <x:c r="E69" s="42"/>
      <x:c r="F69" s="42"/>
      <x:c r="G69" s="42"/>
      <x:c r="H69" s="42"/>
      <x:c r="I69" s="42"/>
      <x:c r="J69" s="42"/>
      <x:c r="K69" s="42"/>
      <x:c r="L69" s="42"/>
      <x:c r="M69" s="42"/>
    </x:row>
    <x:row r="70">
      <x:c r="A70" s="42"/>
      <x:c r="B70" s="42"/>
      <x:c r="C70" s="42"/>
      <x:c r="D70" s="42"/>
      <x:c r="E70" s="42"/>
      <x:c r="F70" s="42"/>
      <x:c r="G70" s="42"/>
      <x:c r="H70" s="42"/>
      <x:c r="I70" s="42"/>
      <x:c r="J70" s="42"/>
      <x:c r="K70" s="42"/>
      <x:c r="L70" s="42"/>
      <x:c r="M70" s="42"/>
    </x:row>
    <x:row r="71">
      <x:c r="A71" s="42"/>
      <x:c r="B71" s="42"/>
      <x:c r="C71" s="42"/>
      <x:c r="D71" s="42"/>
      <x:c r="E71" s="42"/>
      <x:c r="F71" s="42"/>
      <x:c r="G71" s="42"/>
      <x:c r="H71" s="42"/>
      <x:c r="I71" s="42"/>
      <x:c r="J71" s="42"/>
      <x:c r="K71" s="42"/>
      <x:c r="L71" s="42"/>
      <x:c r="M71" s="42"/>
    </x:row>
    <x:row r="72">
      <x:c r="A72" s="42"/>
      <x:c r="B72" s="42"/>
      <x:c r="C72" s="42"/>
      <x:c r="D72" s="42"/>
      <x:c r="E72" s="42"/>
      <x:c r="F72" s="42"/>
      <x:c r="G72" s="42"/>
      <x:c r="H72" s="42"/>
      <x:c r="I72" s="42"/>
      <x:c r="J72" s="42"/>
      <x:c r="K72" s="42"/>
      <x:c r="L72" s="42"/>
      <x:c r="M72" s="42"/>
    </x:row>
    <x:row r="73">
      <x:c r="A73" s="42"/>
      <x:c r="B73" s="42"/>
      <x:c r="C73" s="42"/>
      <x:c r="D73" s="42"/>
      <x:c r="E73" s="42"/>
      <x:c r="F73" s="42"/>
      <x:c r="G73" s="42"/>
      <x:c r="H73" s="42"/>
      <x:c r="I73" s="42"/>
      <x:c r="J73" s="42"/>
      <x:c r="K73" s="42"/>
      <x:c r="L73" s="42"/>
      <x:c r="M73" s="42"/>
    </x:row>
    <x:row r="74">
      <x:c r="A74" s="42"/>
      <x:c r="B74" s="42"/>
      <x:c r="C74" s="42"/>
      <x:c r="D74" s="42"/>
      <x:c r="E74" s="42"/>
      <x:c r="F74" s="42"/>
      <x:c r="G74" s="42"/>
      <x:c r="H74" s="42"/>
      <x:c r="I74" s="42"/>
      <x:c r="J74" s="42"/>
      <x:c r="K74" s="42"/>
      <x:c r="L74" s="42"/>
      <x:c r="M74" s="42"/>
    </x:row>
    <x:row r="75">
      <x:c r="A75" s="42"/>
      <x:c r="B75" s="42"/>
      <x:c r="C75" s="42"/>
      <x:c r="D75" s="42"/>
      <x:c r="E75" s="42"/>
      <x:c r="F75" s="42"/>
      <x:c r="G75" s="42"/>
      <x:c r="H75" s="42"/>
      <x:c r="I75" s="42"/>
      <x:c r="J75" s="42"/>
      <x:c r="K75" s="42"/>
      <x:c r="L75" s="42"/>
      <x:c r="M75" s="42"/>
    </x:row>
    <x:row r="76">
      <x:c r="A76" s="42"/>
      <x:c r="B76" s="42"/>
      <x:c r="C76" s="42"/>
      <x:c r="D76" s="42"/>
      <x:c r="E76" s="42"/>
      <x:c r="F76" s="42"/>
      <x:c r="G76" s="42"/>
      <x:c r="H76" s="42"/>
      <x:c r="I76" s="42"/>
      <x:c r="J76" s="42"/>
      <x:c r="K76" s="42"/>
      <x:c r="L76" s="42"/>
      <x:c r="M76" s="42"/>
    </x:row>
    <x:row r="77">
      <x:c r="A77" s="42"/>
      <x:c r="B77" s="42"/>
      <x:c r="C77" s="42"/>
      <x:c r="D77" s="42"/>
      <x:c r="E77" s="42"/>
      <x:c r="F77" s="42"/>
      <x:c r="G77" s="42"/>
      <x:c r="H77" s="42"/>
      <x:c r="I77" s="42"/>
      <x:c r="J77" s="42"/>
      <x:c r="K77" s="42"/>
      <x:c r="L77" s="42"/>
      <x:c r="M77" s="42"/>
    </x:row>
    <x:row r="78">
      <x:c r="A78" s="42"/>
      <x:c r="B78" s="42"/>
      <x:c r="C78" s="42"/>
      <x:c r="D78" s="42"/>
      <x:c r="E78" s="42"/>
      <x:c r="F78" s="42"/>
      <x:c r="G78" s="42"/>
      <x:c r="H78" s="42"/>
      <x:c r="I78" s="42"/>
      <x:c r="J78" s="42"/>
      <x:c r="K78" s="42"/>
      <x:c r="L78" s="42"/>
      <x:c r="M78" s="42"/>
    </x:row>
    <x:row r="79">
      <x:c r="A79" s="42"/>
      <x:c r="B79" s="42"/>
      <x:c r="C79" s="42"/>
      <x:c r="D79" s="42"/>
      <x:c r="E79" s="42"/>
      <x:c r="F79" s="42"/>
      <x:c r="G79" s="42"/>
      <x:c r="H79" s="42"/>
      <x:c r="I79" s="42"/>
      <x:c r="J79" s="42"/>
      <x:c r="K79" s="42"/>
      <x:c r="L79" s="42"/>
      <x:c r="M79" s="42"/>
    </x:row>
    <x:row r="80">
      <x:c r="A80" s="42"/>
      <x:c r="B80" s="42"/>
      <x:c r="C80" s="42"/>
      <x:c r="D80" s="42"/>
      <x:c r="E80" s="42"/>
      <x:c r="F80" s="42"/>
      <x:c r="G80" s="42"/>
      <x:c r="H80" s="42"/>
      <x:c r="I80" s="42"/>
      <x:c r="J80" s="42"/>
      <x:c r="K80" s="42"/>
      <x:c r="L80" s="42"/>
      <x:c r="M80" s="42"/>
    </x:row>
    <x:row r="81">
      <x:c r="A81" s="42"/>
      <x:c r="B81" s="42"/>
      <x:c r="C81" s="42"/>
      <x:c r="D81" s="42"/>
      <x:c r="E81" s="42"/>
      <x:c r="F81" s="42"/>
      <x:c r="G81" s="42"/>
      <x:c r="H81" s="42"/>
      <x:c r="I81" s="42"/>
      <x:c r="J81" s="42"/>
      <x:c r="K81" s="42"/>
      <x:c r="L81" s="42"/>
      <x:c r="M81" s="42"/>
    </x:row>
    <x:row r="82">
      <x:c r="A82" s="42"/>
      <x:c r="B82" s="42"/>
      <x:c r="C82" s="42"/>
      <x:c r="D82" s="42"/>
      <x:c r="E82" s="42"/>
      <x:c r="F82" s="42"/>
      <x:c r="G82" s="42"/>
      <x:c r="H82" s="42"/>
      <x:c r="I82" s="42"/>
      <x:c r="J82" s="42"/>
      <x:c r="K82" s="42"/>
      <x:c r="L82" s="42"/>
      <x:c r="M82" s="42"/>
    </x:row>
    <x:row r="83">
      <x:c r="A83" s="42"/>
      <x:c r="B83" s="42"/>
      <x:c r="C83" s="42"/>
      <x:c r="D83" s="42"/>
      <x:c r="E83" s="42"/>
      <x:c r="F83" s="42"/>
      <x:c r="G83" s="42"/>
      <x:c r="H83" s="42"/>
      <x:c r="I83" s="42"/>
      <x:c r="J83" s="42"/>
      <x:c r="K83" s="42"/>
      <x:c r="L83" s="42"/>
      <x:c r="M83" s="42"/>
    </x:row>
    <x:row r="84">
      <x:c r="A84" s="42"/>
      <x:c r="B84" s="42"/>
      <x:c r="C84" s="42"/>
      <x:c r="D84" s="42"/>
      <x:c r="E84" s="42"/>
      <x:c r="F84" s="42"/>
      <x:c r="G84" s="42"/>
      <x:c r="H84" s="42"/>
      <x:c r="I84" s="42"/>
      <x:c r="J84" s="42"/>
      <x:c r="K84" s="42"/>
      <x:c r="L84" s="42"/>
      <x:c r="M84" s="42"/>
    </x:row>
    <x:row r="85">
      <x:c r="A85" s="42"/>
      <x:c r="B85" s="42"/>
      <x:c r="C85" s="42"/>
      <x:c r="D85" s="42"/>
      <x:c r="E85" s="42"/>
      <x:c r="F85" s="42"/>
      <x:c r="G85" s="42"/>
      <x:c r="H85" s="42"/>
      <x:c r="I85" s="42"/>
      <x:c r="J85" s="42"/>
      <x:c r="K85" s="42"/>
      <x:c r="L85" s="42"/>
      <x:c r="M85" s="42"/>
    </x:row>
    <x:row r="86">
      <x:c r="A86" s="42"/>
      <x:c r="B86" s="42"/>
      <x:c r="C86" s="42"/>
      <x:c r="D86" s="42"/>
      <x:c r="E86" s="42"/>
      <x:c r="F86" s="42"/>
      <x:c r="G86" s="42"/>
      <x:c r="H86" s="42"/>
      <x:c r="I86" s="42"/>
      <x:c r="J86" s="42"/>
      <x:c r="K86" s="42"/>
      <x:c r="L86" s="42"/>
      <x:c r="M86" s="42"/>
    </x:row>
    <x:row r="87">
      <x:c r="A87" s="42"/>
      <x:c r="B87" s="42"/>
      <x:c r="C87" s="42"/>
      <x:c r="D87" s="42"/>
      <x:c r="E87" s="42"/>
      <x:c r="F87" s="42"/>
      <x:c r="G87" s="42"/>
      <x:c r="H87" s="42"/>
      <x:c r="I87" s="42"/>
      <x:c r="J87" s="42"/>
      <x:c r="K87" s="42"/>
      <x:c r="L87" s="42"/>
      <x:c r="M87" s="42"/>
    </x:row>
    <x:row r="88">
      <x:c r="A88" s="42"/>
      <x:c r="B88" s="42"/>
      <x:c r="C88" s="42"/>
      <x:c r="D88" s="42"/>
      <x:c r="E88" s="42"/>
      <x:c r="F88" s="42"/>
      <x:c r="G88" s="42"/>
      <x:c r="H88" s="42"/>
      <x:c r="I88" s="42"/>
      <x:c r="J88" s="42"/>
      <x:c r="K88" s="42"/>
      <x:c r="L88" s="42"/>
      <x:c r="M88" s="42"/>
    </x:row>
    <x:row r="89">
      <x:c r="A89" s="42"/>
      <x:c r="B89" s="42"/>
      <x:c r="C89" s="42"/>
      <x:c r="D89" s="42"/>
      <x:c r="E89" s="42"/>
      <x:c r="F89" s="42"/>
      <x:c r="G89" s="42"/>
      <x:c r="H89" s="42"/>
      <x:c r="I89" s="42"/>
      <x:c r="J89" s="42"/>
      <x:c r="K89" s="42"/>
      <x:c r="L89" s="42"/>
      <x:c r="M89" s="42"/>
    </x:row>
    <x:row r="90">
      <x:c r="A90" s="42"/>
      <x:c r="B90" s="42"/>
      <x:c r="C90" s="42"/>
      <x:c r="D90" s="42"/>
      <x:c r="E90" s="42"/>
      <x:c r="F90" s="42"/>
      <x:c r="G90" s="42"/>
      <x:c r="H90" s="42"/>
      <x:c r="I90" s="42"/>
      <x:c r="J90" s="42"/>
      <x:c r="K90" s="42"/>
      <x:c r="L90" s="42"/>
      <x:c r="M90" s="42"/>
    </x:row>
    <x:row r="91">
      <x:c r="A91" s="42"/>
      <x:c r="B91" s="42"/>
      <x:c r="C91" s="42"/>
      <x:c r="D91" s="42"/>
      <x:c r="E91" s="42"/>
      <x:c r="F91" s="42"/>
      <x:c r="G91" s="42"/>
      <x:c r="H91" s="42"/>
      <x:c r="I91" s="42"/>
      <x:c r="J91" s="42"/>
      <x:c r="K91" s="42"/>
      <x:c r="L91" s="42"/>
      <x:c r="M91" s="42"/>
    </x:row>
    <x:row r="92">
      <x:c r="A92" s="42"/>
      <x:c r="B92" s="42"/>
      <x:c r="C92" s="42"/>
      <x:c r="D92" s="42"/>
      <x:c r="E92" s="42"/>
      <x:c r="F92" s="42"/>
      <x:c r="G92" s="42"/>
      <x:c r="H92" s="42"/>
      <x:c r="I92" s="42"/>
      <x:c r="J92" s="42"/>
      <x:c r="K92" s="42"/>
      <x:c r="L92" s="42"/>
      <x:c r="M92" s="42"/>
    </x:row>
    <x:row r="93">
      <x:c r="A93" s="42"/>
      <x:c r="B93" s="42"/>
      <x:c r="C93" s="42"/>
      <x:c r="D93" s="42"/>
      <x:c r="E93" s="42"/>
      <x:c r="F93" s="42"/>
      <x:c r="G93" s="42"/>
      <x:c r="H93" s="42"/>
      <x:c r="I93" s="42"/>
      <x:c r="J93" s="42"/>
      <x:c r="K93" s="42"/>
      <x:c r="L93" s="42"/>
      <x:c r="M93" s="42"/>
    </x:row>
    <x:row r="94">
      <x:c r="A94" s="42"/>
      <x:c r="B94" s="42"/>
      <x:c r="C94" s="42"/>
      <x:c r="D94" s="42"/>
      <x:c r="E94" s="42"/>
      <x:c r="F94" s="42"/>
      <x:c r="G94" s="42"/>
      <x:c r="H94" s="42"/>
      <x:c r="I94" s="42"/>
      <x:c r="J94" s="42"/>
      <x:c r="K94" s="42"/>
      <x:c r="L94" s="42"/>
      <x:c r="M94" s="42"/>
    </x:row>
    <x:row r="95">
      <x:c r="A95" s="42"/>
      <x:c r="B95" s="42"/>
      <x:c r="C95" s="42"/>
      <x:c r="D95" s="42"/>
      <x:c r="E95" s="42"/>
      <x:c r="F95" s="42"/>
      <x:c r="G95" s="42"/>
      <x:c r="H95" s="42"/>
      <x:c r="I95" s="42"/>
      <x:c r="J95" s="42"/>
      <x:c r="K95" s="42"/>
      <x:c r="L95" s="42"/>
      <x:c r="M95" s="42"/>
    </x:row>
    <x:row r="96">
      <x:c r="A96" s="42"/>
      <x:c r="B96" s="42"/>
      <x:c r="C96" s="42"/>
      <x:c r="D96" s="42"/>
      <x:c r="E96" s="42"/>
      <x:c r="F96" s="42"/>
      <x:c r="G96" s="42"/>
      <x:c r="H96" s="42"/>
      <x:c r="I96" s="42"/>
      <x:c r="J96" s="42"/>
      <x:c r="K96" s="42"/>
      <x:c r="L96" s="42"/>
      <x:c r="M96" s="42"/>
    </x:row>
    <x:row r="97">
      <x:c r="A97" s="42"/>
      <x:c r="B97" s="42"/>
      <x:c r="C97" s="42"/>
      <x:c r="D97" s="42"/>
      <x:c r="E97" s="42"/>
      <x:c r="F97" s="42"/>
      <x:c r="G97" s="42"/>
      <x:c r="H97" s="42"/>
      <x:c r="I97" s="42"/>
      <x:c r="J97" s="42"/>
      <x:c r="K97" s="42"/>
      <x:c r="L97" s="42"/>
      <x:c r="M97" s="42"/>
    </x:row>
    <x:row r="98">
      <x:c r="A98" s="42"/>
      <x:c r="B98" s="42"/>
      <x:c r="C98" s="42"/>
      <x:c r="D98" s="42"/>
      <x:c r="E98" s="42"/>
      <x:c r="F98" s="42"/>
      <x:c r="G98" s="42"/>
      <x:c r="H98" s="42"/>
      <x:c r="I98" s="42"/>
      <x:c r="J98" s="42"/>
      <x:c r="K98" s="42"/>
      <x:c r="L98" s="42"/>
      <x:c r="M98" s="42"/>
    </x:row>
    <x:row r="99">
      <x:c r="A99" s="42"/>
      <x:c r="B99" s="42"/>
      <x:c r="C99" s="42"/>
      <x:c r="D99" s="42"/>
      <x:c r="E99" s="42"/>
      <x:c r="F99" s="42"/>
      <x:c r="G99" s="42"/>
      <x:c r="H99" s="42"/>
      <x:c r="I99" s="42"/>
      <x:c r="J99" s="42"/>
      <x:c r="K99" s="42"/>
      <x:c r="L99" s="42"/>
      <x:c r="M99" s="42"/>
    </x:row>
    <x:row r="100">
      <x:c r="A100" s="42"/>
      <x:c r="B100" s="42"/>
      <x:c r="C100" s="42"/>
      <x:c r="D100" s="42"/>
      <x:c r="E100" s="42"/>
      <x:c r="F100" s="42"/>
      <x:c r="G100" s="42"/>
      <x:c r="H100" s="42"/>
      <x:c r="I100" s="42"/>
      <x:c r="J100" s="42"/>
      <x:c r="K100" s="42"/>
      <x:c r="L100" s="42"/>
      <x:c r="M100" s="42"/>
    </x:row>
    <x:row r="101">
      <x:c r="A101" s="42"/>
      <x:c r="B101" s="42"/>
      <x:c r="C101" s="42"/>
      <x:c r="D101" s="42"/>
      <x:c r="E101" s="42"/>
      <x:c r="F101" s="42"/>
      <x:c r="G101" s="42"/>
      <x:c r="H101" s="42"/>
      <x:c r="I101" s="42"/>
      <x:c r="J101" s="42"/>
      <x:c r="K101" s="42"/>
      <x:c r="L101" s="42"/>
      <x:c r="M101" s="42"/>
    </x:row>
    <x:row r="102">
      <x:c r="A102" s="42"/>
      <x:c r="B102" s="42"/>
      <x:c r="C102" s="42"/>
      <x:c r="D102" s="42"/>
      <x:c r="E102" s="42"/>
      <x:c r="F102" s="42"/>
      <x:c r="G102" s="42"/>
      <x:c r="H102" s="42"/>
      <x:c r="I102" s="42"/>
      <x:c r="J102" s="42"/>
      <x:c r="K102" s="42"/>
      <x:c r="L102" s="42"/>
      <x:c r="M102" s="42"/>
    </x:row>
    <x:row r="103">
      <x:c r="A103" s="42"/>
      <x:c r="B103" s="42"/>
      <x:c r="C103" s="42"/>
      <x:c r="D103" s="42"/>
      <x:c r="E103" s="42"/>
      <x:c r="F103" s="42"/>
      <x:c r="G103" s="42"/>
      <x:c r="H103" s="42"/>
      <x:c r="I103" s="42"/>
      <x:c r="J103" s="42"/>
      <x:c r="K103" s="42"/>
      <x:c r="L103" s="42"/>
      <x:c r="M103" s="42"/>
    </x:row>
    <x:row r="104">
      <x:c r="A104" s="42"/>
      <x:c r="B104" s="42"/>
      <x:c r="C104" s="42"/>
      <x:c r="D104" s="42"/>
      <x:c r="E104" s="42"/>
      <x:c r="F104" s="42"/>
      <x:c r="G104" s="42"/>
      <x:c r="H104" s="42"/>
      <x:c r="I104" s="42"/>
      <x:c r="J104" s="42"/>
      <x:c r="K104" s="42"/>
      <x:c r="L104" s="42"/>
      <x:c r="M104" s="42"/>
    </x:row>
    <x:row r="105">
      <x:c r="A105" s="42"/>
      <x:c r="B105" s="42"/>
      <x:c r="C105" s="42"/>
      <x:c r="D105" s="42"/>
      <x:c r="E105" s="42"/>
      <x:c r="F105" s="42"/>
      <x:c r="G105" s="42"/>
      <x:c r="H105" s="42"/>
      <x:c r="I105" s="42"/>
      <x:c r="J105" s="42"/>
      <x:c r="K105" s="42"/>
      <x:c r="L105" s="42"/>
      <x:c r="M105" s="42"/>
    </x:row>
    <x:row r="106">
      <x:c r="A106" s="42"/>
      <x:c r="B106" s="42"/>
      <x:c r="C106" s="42"/>
      <x:c r="D106" s="42"/>
      <x:c r="E106" s="42"/>
      <x:c r="F106" s="42"/>
      <x:c r="G106" s="42"/>
      <x:c r="H106" s="42"/>
      <x:c r="I106" s="42"/>
      <x:c r="J106" s="42"/>
      <x:c r="K106" s="42"/>
      <x:c r="L106" s="42"/>
      <x:c r="M106" s="42"/>
    </x:row>
    <x:row r="107">
      <x:c r="A107" s="42"/>
      <x:c r="B107" s="42"/>
      <x:c r="C107" s="42"/>
      <x:c r="D107" s="42"/>
      <x:c r="E107" s="42"/>
      <x:c r="F107" s="42"/>
      <x:c r="G107" s="42"/>
      <x:c r="H107" s="42"/>
      <x:c r="I107" s="42"/>
      <x:c r="J107" s="42"/>
      <x:c r="K107" s="42"/>
      <x:c r="L107" s="42"/>
      <x:c r="M107" s="42"/>
    </x:row>
    <x:row r="108">
      <x:c r="A108" s="42"/>
      <x:c r="B108" s="42"/>
      <x:c r="C108" s="42"/>
      <x:c r="D108" s="42"/>
      <x:c r="E108" s="42"/>
      <x:c r="F108" s="42"/>
      <x:c r="G108" s="42"/>
      <x:c r="H108" s="42"/>
      <x:c r="I108" s="42"/>
      <x:c r="J108" s="42"/>
      <x:c r="K108" s="42"/>
      <x:c r="L108" s="42"/>
      <x:c r="M108" s="42"/>
    </x:row>
    <x:row r="109">
      <x:c r="A109" s="42"/>
      <x:c r="B109" s="42"/>
      <x:c r="C109" s="42"/>
      <x:c r="D109" s="42"/>
      <x:c r="E109" s="42"/>
      <x:c r="F109" s="42"/>
      <x:c r="G109" s="42"/>
      <x:c r="H109" s="42"/>
      <x:c r="I109" s="42"/>
      <x:c r="J109" s="42"/>
      <x:c r="K109" s="42"/>
      <x:c r="L109" s="42"/>
      <x:c r="M109" s="42"/>
    </x:row>
    <x:row r="110">
      <x:c r="A110" s="42"/>
      <x:c r="B110" s="42"/>
      <x:c r="C110" s="42"/>
      <x:c r="D110" s="42"/>
      <x:c r="E110" s="42"/>
      <x:c r="F110" s="42"/>
      <x:c r="G110" s="42"/>
      <x:c r="H110" s="42"/>
      <x:c r="I110" s="42"/>
      <x:c r="J110" s="42"/>
      <x:c r="K110" s="42"/>
      <x:c r="L110" s="42"/>
      <x:c r="M110" s="42"/>
    </x:row>
    <x:row r="111">
      <x:c r="A111" s="42"/>
      <x:c r="B111" s="42"/>
      <x:c r="C111" s="42"/>
      <x:c r="D111" s="42"/>
      <x:c r="E111" s="42"/>
      <x:c r="F111" s="42"/>
      <x:c r="G111" s="42"/>
      <x:c r="H111" s="42"/>
      <x:c r="I111" s="42"/>
      <x:c r="J111" s="42"/>
      <x:c r="K111" s="42"/>
      <x:c r="L111" s="42"/>
      <x:c r="M111" s="42"/>
    </x:row>
    <x:row r="112">
      <x:c r="A112" s="42"/>
      <x:c r="B112" s="42"/>
      <x:c r="C112" s="42"/>
      <x:c r="D112" s="42"/>
      <x:c r="E112" s="42"/>
      <x:c r="F112" s="42"/>
      <x:c r="G112" s="42"/>
      <x:c r="H112" s="42"/>
      <x:c r="I112" s="42"/>
      <x:c r="J112" s="42"/>
      <x:c r="K112" s="42"/>
      <x:c r="L112" s="42"/>
      <x:c r="M112" s="42"/>
    </x:row>
    <x:row r="113">
      <x:c r="A113" s="42"/>
      <x:c r="B113" s="42"/>
      <x:c r="C113" s="42"/>
      <x:c r="D113" s="42"/>
      <x:c r="E113" s="42"/>
      <x:c r="F113" s="42"/>
      <x:c r="G113" s="42"/>
      <x:c r="H113" s="42"/>
      <x:c r="I113" s="42"/>
      <x:c r="J113" s="42"/>
      <x:c r="K113" s="42"/>
      <x:c r="L113" s="42"/>
      <x:c r="M113" s="42"/>
    </x:row>
    <x:row r="114">
      <x:c r="A114" s="42"/>
      <x:c r="B114" s="42"/>
      <x:c r="C114" s="42"/>
      <x:c r="D114" s="42"/>
      <x:c r="E114" s="42"/>
      <x:c r="F114" s="42"/>
      <x:c r="G114" s="42"/>
      <x:c r="H114" s="42"/>
      <x:c r="I114" s="42"/>
      <x:c r="J114" s="42"/>
      <x:c r="K114" s="42"/>
      <x:c r="L114" s="42"/>
      <x:c r="M114" s="42"/>
    </x:row>
    <x:row r="115">
      <x:c r="A115" s="42"/>
      <x:c r="B115" s="42"/>
      <x:c r="C115" s="42"/>
      <x:c r="D115" s="42"/>
      <x:c r="E115" s="42"/>
      <x:c r="F115" s="42"/>
      <x:c r="G115" s="42"/>
      <x:c r="H115" s="42"/>
      <x:c r="I115" s="42"/>
      <x:c r="J115" s="42"/>
      <x:c r="K115" s="42"/>
      <x:c r="L115" s="42"/>
      <x:c r="M115" s="42"/>
    </x:row>
    <x:row r="116">
      <x:c r="A116" s="42"/>
      <x:c r="B116" s="42"/>
      <x:c r="C116" s="42"/>
      <x:c r="D116" s="42"/>
      <x:c r="E116" s="42"/>
      <x:c r="F116" s="42"/>
      <x:c r="G116" s="42"/>
      <x:c r="H116" s="42"/>
      <x:c r="I116" s="42"/>
      <x:c r="J116" s="42"/>
      <x:c r="K116" s="42"/>
      <x:c r="L116" s="42"/>
      <x:c r="M116" s="42"/>
    </x:row>
    <x:row r="117">
      <x:c r="A117" s="42"/>
      <x:c r="B117" s="42"/>
      <x:c r="C117" s="42"/>
      <x:c r="D117" s="42"/>
      <x:c r="E117" s="42"/>
      <x:c r="F117" s="42"/>
      <x:c r="G117" s="42"/>
      <x:c r="H117" s="42"/>
      <x:c r="I117" s="42"/>
      <x:c r="J117" s="42"/>
      <x:c r="K117" s="42"/>
      <x:c r="L117" s="42"/>
      <x:c r="M117" s="42"/>
    </x:row>
    <x:row r="118">
      <x:c r="A118" s="42"/>
      <x:c r="B118" s="42"/>
      <x:c r="C118" s="42"/>
      <x:c r="D118" s="42"/>
      <x:c r="E118" s="42"/>
      <x:c r="F118" s="42"/>
      <x:c r="G118" s="42"/>
      <x:c r="H118" s="42"/>
      <x:c r="I118" s="42"/>
      <x:c r="J118" s="42"/>
      <x:c r="K118" s="42"/>
      <x:c r="L118" s="42"/>
      <x:c r="M118" s="42"/>
    </x:row>
    <x:row r="119">
      <x:c r="A119" s="42"/>
      <x:c r="B119" s="42"/>
      <x:c r="C119" s="42"/>
      <x:c r="D119" s="42"/>
      <x:c r="E119" s="42"/>
      <x:c r="F119" s="42"/>
      <x:c r="G119" s="42"/>
      <x:c r="H119" s="42"/>
      <x:c r="I119" s="42"/>
      <x:c r="J119" s="42"/>
      <x:c r="K119" s="42"/>
      <x:c r="L119" s="42"/>
      <x:c r="M119" s="42"/>
    </x:row>
    <x:row r="120">
      <x:c r="A120" s="42"/>
      <x:c r="B120" s="42"/>
      <x:c r="C120" s="42"/>
      <x:c r="D120" s="42"/>
      <x:c r="E120" s="42"/>
      <x:c r="F120" s="42"/>
      <x:c r="G120" s="42"/>
      <x:c r="H120" s="42"/>
      <x:c r="I120" s="42"/>
      <x:c r="J120" s="42"/>
      <x:c r="K120" s="42"/>
      <x:c r="L120" s="42"/>
      <x:c r="M120" s="42"/>
    </x:row>
    <x:row r="121">
      <x:c r="A121" s="42"/>
      <x:c r="B121" s="42"/>
      <x:c r="C121" s="42"/>
      <x:c r="D121" s="42"/>
      <x:c r="E121" s="42"/>
      <x:c r="F121" s="42"/>
      <x:c r="G121" s="42"/>
      <x:c r="H121" s="42"/>
      <x:c r="I121" s="42"/>
      <x:c r="J121" s="42"/>
      <x:c r="K121" s="42"/>
      <x:c r="L121" s="42"/>
      <x:c r="M121" s="42"/>
    </x:row>
    <x:row r="122">
      <x:c r="A122" s="42"/>
      <x:c r="B122" s="42"/>
      <x:c r="C122" s="42"/>
      <x:c r="D122" s="42"/>
      <x:c r="E122" s="42"/>
      <x:c r="F122" s="42"/>
      <x:c r="G122" s="42"/>
      <x:c r="H122" s="42"/>
      <x:c r="I122" s="42"/>
      <x:c r="J122" s="42"/>
      <x:c r="K122" s="42"/>
      <x:c r="L122" s="42"/>
      <x:c r="M122" s="42"/>
    </x:row>
    <x:row r="123">
      <x:c r="A123" s="42"/>
      <x:c r="B123" s="42"/>
      <x:c r="C123" s="42"/>
      <x:c r="D123" s="42"/>
      <x:c r="E123" s="42"/>
      <x:c r="F123" s="42"/>
      <x:c r="G123" s="42"/>
      <x:c r="H123" s="42"/>
      <x:c r="I123" s="42"/>
      <x:c r="J123" s="42"/>
      <x:c r="K123" s="42"/>
      <x:c r="L123" s="42"/>
      <x:c r="M123" s="42"/>
    </x:row>
    <x:row r="124">
      <x:c r="A124" s="42"/>
      <x:c r="B124" s="42"/>
      <x:c r="C124" s="42"/>
      <x:c r="D124" s="42"/>
      <x:c r="E124" s="42"/>
      <x:c r="F124" s="42"/>
      <x:c r="G124" s="42"/>
      <x:c r="H124" s="42"/>
      <x:c r="I124" s="42"/>
      <x:c r="J124" s="42"/>
      <x:c r="K124" s="42"/>
      <x:c r="L124" s="42"/>
      <x:c r="M124" s="42"/>
    </x:row>
    <x:row r="125">
      <x:c r="A125" s="42"/>
      <x:c r="B125" s="42"/>
      <x:c r="C125" s="42"/>
      <x:c r="D125" s="42"/>
      <x:c r="E125" s="42"/>
      <x:c r="F125" s="42"/>
      <x:c r="G125" s="42"/>
      <x:c r="H125" s="42"/>
      <x:c r="I125" s="42"/>
      <x:c r="J125" s="42"/>
      <x:c r="K125" s="42"/>
      <x:c r="L125" s="42"/>
      <x:c r="M125" s="42"/>
    </x:row>
    <x:row r="126">
      <x:c r="A126" s="42"/>
      <x:c r="B126" s="42"/>
      <x:c r="C126" s="42"/>
      <x:c r="D126" s="42"/>
      <x:c r="E126" s="42"/>
      <x:c r="F126" s="42"/>
      <x:c r="G126" s="42"/>
      <x:c r="H126" s="42"/>
      <x:c r="I126" s="42"/>
      <x:c r="J126" s="42"/>
      <x:c r="K126" s="42"/>
      <x:c r="L126" s="42"/>
      <x:c r="M126" s="42"/>
    </x:row>
    <x:row r="127">
      <x:c r="A127" s="42"/>
      <x:c r="B127" s="42"/>
      <x:c r="C127" s="42"/>
      <x:c r="D127" s="42"/>
      <x:c r="E127" s="42"/>
      <x:c r="F127" s="42"/>
      <x:c r="G127" s="42"/>
      <x:c r="H127" s="42"/>
      <x:c r="I127" s="42"/>
      <x:c r="J127" s="42"/>
      <x:c r="K127" s="42"/>
      <x:c r="L127" s="42"/>
      <x:c r="M127" s="42"/>
    </x:row>
    <x:row r="128">
      <x:c r="A128" s="42"/>
      <x:c r="B128" s="42"/>
      <x:c r="C128" s="42"/>
      <x:c r="D128" s="42"/>
      <x:c r="E128" s="42"/>
      <x:c r="F128" s="42"/>
      <x:c r="G128" s="42"/>
      <x:c r="H128" s="42"/>
      <x:c r="I128" s="42"/>
      <x:c r="J128" s="42"/>
      <x:c r="K128" s="42"/>
      <x:c r="L128" s="42"/>
      <x:c r="M128" s="42"/>
    </x:row>
    <x:row r="129">
      <x:c r="A129" s="42"/>
      <x:c r="B129" s="42"/>
      <x:c r="C129" s="42"/>
      <x:c r="D129" s="42"/>
      <x:c r="E129" s="42"/>
      <x:c r="F129" s="42"/>
      <x:c r="G129" s="42"/>
      <x:c r="H129" s="42"/>
      <x:c r="I129" s="42"/>
      <x:c r="J129" s="42"/>
      <x:c r="K129" s="42"/>
      <x:c r="L129" s="42"/>
      <x:c r="M129" s="42"/>
    </x:row>
    <x:row r="130">
      <x:c r="A130" s="42"/>
      <x:c r="B130" s="42"/>
      <x:c r="C130" s="42"/>
      <x:c r="D130" s="42"/>
      <x:c r="E130" s="42"/>
      <x:c r="F130" s="42"/>
      <x:c r="G130" s="42"/>
      <x:c r="H130" s="42"/>
      <x:c r="I130" s="42"/>
      <x:c r="J130" s="42"/>
      <x:c r="K130" s="42"/>
      <x:c r="L130" s="42"/>
      <x:c r="M130" s="42"/>
    </x:row>
    <x:row r="131">
      <x:c r="A131" s="42"/>
      <x:c r="B131" s="42"/>
      <x:c r="C131" s="42"/>
      <x:c r="D131" s="42"/>
      <x:c r="E131" s="42"/>
      <x:c r="F131" s="42"/>
      <x:c r="G131" s="42"/>
      <x:c r="H131" s="42"/>
      <x:c r="I131" s="42"/>
      <x:c r="J131" s="42"/>
      <x:c r="K131" s="42"/>
      <x:c r="L131" s="42"/>
      <x:c r="M131" s="42"/>
    </x:row>
    <x:row r="132">
      <x:c r="A132" s="42"/>
      <x:c r="B132" s="42"/>
      <x:c r="C132" s="42"/>
      <x:c r="D132" s="42"/>
      <x:c r="E132" s="42"/>
      <x:c r="F132" s="42"/>
      <x:c r="G132" s="42"/>
      <x:c r="H132" s="42"/>
      <x:c r="I132" s="42"/>
      <x:c r="J132" s="42"/>
      <x:c r="K132" s="42"/>
      <x:c r="L132" s="42"/>
      <x:c r="M132" s="42"/>
    </x:row>
    <x:row r="133">
      <x:c r="A133" s="42"/>
      <x:c r="B133" s="42"/>
      <x:c r="C133" s="42"/>
      <x:c r="D133" s="42"/>
      <x:c r="E133" s="42"/>
      <x:c r="F133" s="42"/>
      <x:c r="G133" s="42"/>
      <x:c r="H133" s="42"/>
      <x:c r="I133" s="42"/>
      <x:c r="J133" s="42"/>
      <x:c r="K133" s="42"/>
      <x:c r="L133" s="42"/>
      <x:c r="M133" s="42"/>
    </x:row>
    <x:row r="134">
      <x:c r="A134" s="42"/>
      <x:c r="B134" s="42"/>
      <x:c r="C134" s="42"/>
      <x:c r="D134" s="42"/>
      <x:c r="E134" s="42"/>
      <x:c r="F134" s="42"/>
      <x:c r="G134" s="42"/>
      <x:c r="H134" s="42"/>
      <x:c r="I134" s="42"/>
      <x:c r="J134" s="42"/>
      <x:c r="K134" s="42"/>
      <x:c r="L134" s="42"/>
      <x:c r="M134" s="42"/>
    </x:row>
    <x:row r="135">
      <x:c r="A135" s="42"/>
      <x:c r="B135" s="42"/>
      <x:c r="C135" s="42"/>
      <x:c r="D135" s="42"/>
      <x:c r="E135" s="42"/>
      <x:c r="F135" s="42"/>
      <x:c r="G135" s="42"/>
      <x:c r="H135" s="42"/>
      <x:c r="I135" s="42"/>
      <x:c r="J135" s="42"/>
      <x:c r="K135" s="42"/>
      <x:c r="L135" s="42"/>
      <x:c r="M135" s="42"/>
    </x:row>
    <x:row r="136">
      <x:c r="A136" s="42"/>
      <x:c r="B136" s="42"/>
      <x:c r="C136" s="42"/>
      <x:c r="D136" s="42"/>
      <x:c r="E136" s="42"/>
      <x:c r="F136" s="42"/>
      <x:c r="G136" s="42"/>
      <x:c r="H136" s="42"/>
      <x:c r="I136" s="42"/>
      <x:c r="J136" s="42"/>
      <x:c r="K136" s="42"/>
      <x:c r="L136" s="42"/>
      <x:c r="M136" s="42"/>
    </x:row>
    <x:row r="137">
      <x:c r="A137" s="42"/>
      <x:c r="B137" s="42"/>
      <x:c r="C137" s="42"/>
      <x:c r="D137" s="42"/>
      <x:c r="E137" s="42"/>
      <x:c r="F137" s="42"/>
      <x:c r="G137" s="42"/>
      <x:c r="H137" s="42"/>
      <x:c r="I137" s="42"/>
      <x:c r="J137" s="42"/>
      <x:c r="K137" s="42"/>
      <x:c r="L137" s="42"/>
      <x:c r="M137" s="42"/>
    </x:row>
    <x:row r="138">
      <x:c r="A138" s="42"/>
      <x:c r="B138" s="42"/>
      <x:c r="C138" s="42"/>
      <x:c r="D138" s="42"/>
      <x:c r="E138" s="42"/>
      <x:c r="F138" s="42"/>
      <x:c r="G138" s="42"/>
      <x:c r="H138" s="42"/>
      <x:c r="I138" s="42"/>
      <x:c r="J138" s="42"/>
      <x:c r="K138" s="42"/>
      <x:c r="L138" s="42"/>
      <x:c r="M138" s="42"/>
    </x:row>
    <x:row r="139">
      <x:c r="A139" s="42"/>
      <x:c r="B139" s="42"/>
      <x:c r="C139" s="42"/>
      <x:c r="D139" s="42"/>
      <x:c r="E139" s="42"/>
      <x:c r="F139" s="42"/>
      <x:c r="G139" s="42"/>
      <x:c r="H139" s="42"/>
      <x:c r="I139" s="42"/>
      <x:c r="J139" s="42"/>
      <x:c r="K139" s="42"/>
      <x:c r="L139" s="42"/>
      <x:c r="M139" s="42"/>
    </x:row>
    <x:row r="140">
      <x:c r="A140" s="42"/>
      <x:c r="B140" s="42"/>
      <x:c r="C140" s="42"/>
      <x:c r="D140" s="42"/>
      <x:c r="E140" s="42"/>
      <x:c r="F140" s="42"/>
      <x:c r="G140" s="42"/>
      <x:c r="H140" s="42"/>
      <x:c r="I140" s="42"/>
      <x:c r="J140" s="42"/>
      <x:c r="K140" s="42"/>
      <x:c r="L140" s="42"/>
      <x:c r="M140" s="42"/>
    </x:row>
    <x:row r="141">
      <x:c r="A141" s="42"/>
      <x:c r="B141" s="42"/>
      <x:c r="C141" s="42"/>
      <x:c r="D141" s="42"/>
      <x:c r="E141" s="42"/>
      <x:c r="F141" s="42"/>
      <x:c r="G141" s="42"/>
      <x:c r="H141" s="42"/>
      <x:c r="I141" s="42"/>
      <x:c r="J141" s="42"/>
      <x:c r="K141" s="42"/>
      <x:c r="L141" s="42"/>
      <x:c r="M141" s="42"/>
    </x:row>
    <x:row r="142">
      <x:c r="A142" s="42"/>
      <x:c r="B142" s="42"/>
      <x:c r="C142" s="42"/>
      <x:c r="D142" s="42"/>
      <x:c r="E142" s="42"/>
      <x:c r="F142" s="42"/>
      <x:c r="G142" s="42"/>
      <x:c r="H142" s="42"/>
      <x:c r="I142" s="42"/>
      <x:c r="J142" s="42"/>
      <x:c r="K142" s="42"/>
      <x:c r="L142" s="42"/>
      <x:c r="M142" s="42"/>
    </x:row>
    <x:row r="143">
      <x:c r="A143" s="42"/>
      <x:c r="B143" s="42"/>
      <x:c r="C143" s="42"/>
      <x:c r="D143" s="42"/>
      <x:c r="E143" s="42"/>
      <x:c r="F143" s="42"/>
      <x:c r="G143" s="42"/>
      <x:c r="H143" s="42"/>
      <x:c r="I143" s="42"/>
      <x:c r="J143" s="42"/>
      <x:c r="K143" s="42"/>
      <x:c r="L143" s="42"/>
      <x:c r="M143" s="42"/>
    </x:row>
    <x:row r="144">
      <x:c r="A144" s="42"/>
      <x:c r="B144" s="42"/>
      <x:c r="C144" s="42"/>
      <x:c r="D144" s="42"/>
      <x:c r="E144" s="42"/>
      <x:c r="F144" s="42"/>
      <x:c r="G144" s="42"/>
      <x:c r="H144" s="42"/>
      <x:c r="I144" s="42"/>
      <x:c r="J144" s="42"/>
      <x:c r="K144" s="42"/>
      <x:c r="L144" s="42"/>
      <x:c r="M144" s="42"/>
    </x:row>
    <x:row r="145">
      <x:c r="A145" s="42"/>
      <x:c r="B145" s="42"/>
      <x:c r="C145" s="42"/>
      <x:c r="D145" s="42"/>
      <x:c r="E145" s="42"/>
      <x:c r="F145" s="42"/>
      <x:c r="G145" s="42"/>
      <x:c r="H145" s="42"/>
      <x:c r="I145" s="42"/>
      <x:c r="J145" s="42"/>
      <x:c r="K145" s="42"/>
      <x:c r="L145" s="42"/>
      <x:c r="M145" s="42"/>
    </x:row>
    <x:row r="146">
      <x:c r="A146" s="42"/>
      <x:c r="B146" s="42"/>
      <x:c r="C146" s="42"/>
      <x:c r="D146" s="42"/>
      <x:c r="E146" s="42"/>
      <x:c r="F146" s="42"/>
      <x:c r="G146" s="42"/>
      <x:c r="H146" s="42"/>
      <x:c r="I146" s="42"/>
      <x:c r="J146" s="42"/>
      <x:c r="K146" s="42"/>
      <x:c r="L146" s="42"/>
      <x:c r="M146" s="42"/>
    </x:row>
    <x:row r="147">
      <x:c r="A147" s="42"/>
      <x:c r="B147" s="42"/>
      <x:c r="C147" s="42"/>
      <x:c r="D147" s="42"/>
      <x:c r="E147" s="42"/>
      <x:c r="F147" s="42"/>
      <x:c r="G147" s="42"/>
      <x:c r="H147" s="42"/>
      <x:c r="I147" s="42"/>
      <x:c r="J147" s="42"/>
      <x:c r="K147" s="42"/>
      <x:c r="L147" s="42"/>
      <x:c r="M147" s="42"/>
    </x:row>
    <x:row r="148">
      <x:c r="A148" s="42"/>
      <x:c r="B148" s="42"/>
      <x:c r="C148" s="42"/>
      <x:c r="D148" s="42"/>
      <x:c r="E148" s="42"/>
      <x:c r="F148" s="42"/>
      <x:c r="G148" s="42"/>
      <x:c r="H148" s="42"/>
      <x:c r="I148" s="42"/>
      <x:c r="J148" s="42"/>
      <x:c r="K148" s="42"/>
      <x:c r="L148" s="42"/>
      <x:c r="M148" s="42"/>
    </x:row>
    <x:row r="149">
      <x:c r="A149" s="42"/>
      <x:c r="B149" s="42"/>
      <x:c r="C149" s="42"/>
      <x:c r="D149" s="42"/>
      <x:c r="E149" s="42"/>
      <x:c r="F149" s="42"/>
      <x:c r="G149" s="42"/>
      <x:c r="H149" s="42"/>
      <x:c r="I149" s="42"/>
      <x:c r="J149" s="42"/>
      <x:c r="K149" s="42"/>
      <x:c r="L149" s="42"/>
      <x:c r="M149" s="42"/>
    </x:row>
    <x:row r="150">
      <x:c r="A150" s="42"/>
      <x:c r="B150" s="42"/>
      <x:c r="C150" s="42"/>
      <x:c r="D150" s="42"/>
      <x:c r="E150" s="42"/>
      <x:c r="F150" s="42"/>
      <x:c r="G150" s="42"/>
      <x:c r="H150" s="42"/>
      <x:c r="I150" s="42"/>
      <x:c r="J150" s="42"/>
      <x:c r="K150" s="42"/>
      <x:c r="L150" s="42"/>
      <x:c r="M150" s="42"/>
    </x:row>
    <x:row r="151">
      <x:c r="A151" s="42"/>
      <x:c r="B151" s="42"/>
      <x:c r="C151" s="42"/>
      <x:c r="D151" s="42"/>
      <x:c r="E151" s="42"/>
      <x:c r="F151" s="42"/>
      <x:c r="G151" s="42"/>
      <x:c r="H151" s="42"/>
      <x:c r="I151" s="42"/>
      <x:c r="J151" s="42"/>
      <x:c r="K151" s="42"/>
      <x:c r="L151" s="42"/>
      <x:c r="M151" s="42"/>
    </x:row>
    <x:row r="152">
      <x:c r="A152" s="42"/>
      <x:c r="B152" s="42"/>
      <x:c r="C152" s="42"/>
      <x:c r="D152" s="42"/>
      <x:c r="E152" s="42"/>
      <x:c r="F152" s="42"/>
      <x:c r="G152" s="42"/>
      <x:c r="H152" s="42"/>
      <x:c r="I152" s="42"/>
      <x:c r="J152" s="42"/>
      <x:c r="K152" s="42"/>
      <x:c r="L152" s="42"/>
      <x:c r="M152" s="42"/>
    </x:row>
    <x:row r="153">
      <x:c r="A153" s="42"/>
      <x:c r="B153" s="42"/>
      <x:c r="C153" s="42"/>
      <x:c r="D153" s="42"/>
      <x:c r="E153" s="42"/>
      <x:c r="F153" s="42"/>
      <x:c r="G153" s="42"/>
      <x:c r="H153" s="42"/>
      <x:c r="I153" s="42"/>
      <x:c r="J153" s="42"/>
      <x:c r="K153" s="42"/>
      <x:c r="L153" s="42"/>
      <x:c r="M153" s="42"/>
    </x:row>
    <x:row r="154">
      <x:c r="A154" s="42"/>
      <x:c r="B154" s="42"/>
      <x:c r="C154" s="42"/>
      <x:c r="D154" s="42"/>
      <x:c r="E154" s="42"/>
      <x:c r="F154" s="42"/>
      <x:c r="G154" s="42"/>
      <x:c r="H154" s="42"/>
      <x:c r="I154" s="42"/>
      <x:c r="J154" s="42"/>
      <x:c r="K154" s="42"/>
      <x:c r="L154" s="42"/>
      <x:c r="M154" s="42"/>
    </x:row>
    <x:row r="155">
      <x:c r="A155" s="42"/>
      <x:c r="B155" s="42"/>
      <x:c r="C155" s="42"/>
      <x:c r="D155" s="42"/>
      <x:c r="E155" s="42"/>
      <x:c r="F155" s="42"/>
      <x:c r="G155" s="42"/>
      <x:c r="H155" s="42"/>
      <x:c r="I155" s="42"/>
      <x:c r="J155" s="42"/>
      <x:c r="K155" s="42"/>
      <x:c r="L155" s="42"/>
      <x:c r="M155" s="42"/>
    </x:row>
    <x:row r="156">
      <x:c r="A156" s="42"/>
      <x:c r="B156" s="42"/>
      <x:c r="C156" s="42"/>
      <x:c r="D156" s="42"/>
      <x:c r="E156" s="42"/>
      <x:c r="F156" s="42"/>
      <x:c r="G156" s="42"/>
      <x:c r="H156" s="42"/>
      <x:c r="I156" s="42"/>
      <x:c r="J156" s="42"/>
      <x:c r="K156" s="42"/>
      <x:c r="L156" s="42"/>
      <x:c r="M156" s="42"/>
    </x:row>
    <x:row r="157">
      <x:c r="A157" s="42"/>
      <x:c r="B157" s="42"/>
      <x:c r="C157" s="42"/>
      <x:c r="D157" s="42"/>
      <x:c r="E157" s="42"/>
      <x:c r="F157" s="42"/>
      <x:c r="G157" s="42"/>
      <x:c r="H157" s="42"/>
      <x:c r="I157" s="42"/>
      <x:c r="J157" s="42"/>
      <x:c r="K157" s="42"/>
      <x:c r="L157" s="42"/>
      <x:c r="M157" s="42"/>
    </x:row>
    <x:row r="158">
      <x:c r="A158" s="42"/>
      <x:c r="B158" s="42"/>
      <x:c r="C158" s="42"/>
      <x:c r="D158" s="42"/>
      <x:c r="E158" s="42"/>
      <x:c r="F158" s="42"/>
      <x:c r="G158" s="42"/>
      <x:c r="H158" s="42"/>
      <x:c r="I158" s="42"/>
      <x:c r="J158" s="42"/>
      <x:c r="K158" s="42"/>
      <x:c r="L158" s="42"/>
      <x:c r="M158" s="42"/>
    </x:row>
    <x:row r="159">
      <x:c r="A159" s="42"/>
      <x:c r="B159" s="42"/>
      <x:c r="C159" s="42"/>
      <x:c r="D159" s="42"/>
      <x:c r="E159" s="42"/>
      <x:c r="F159" s="42"/>
      <x:c r="G159" s="42"/>
      <x:c r="H159" s="42"/>
      <x:c r="I159" s="42"/>
      <x:c r="J159" s="42"/>
      <x:c r="K159" s="42"/>
      <x:c r="L159" s="42"/>
      <x:c r="M159" s="42"/>
    </x:row>
    <x:row r="160">
      <x:c r="A160" s="42"/>
      <x:c r="B160" s="42"/>
      <x:c r="C160" s="42"/>
      <x:c r="D160" s="42"/>
      <x:c r="E160" s="42"/>
      <x:c r="F160" s="42"/>
      <x:c r="G160" s="42"/>
      <x:c r="H160" s="42"/>
      <x:c r="I160" s="42"/>
      <x:c r="J160" s="42"/>
      <x:c r="K160" s="42"/>
      <x:c r="L160" s="42"/>
      <x:c r="M160" s="42"/>
    </x:row>
    <x:row r="161">
      <x:c r="A161" s="42"/>
      <x:c r="B161" s="42"/>
      <x:c r="C161" s="42"/>
      <x:c r="D161" s="42"/>
      <x:c r="E161" s="42"/>
      <x:c r="F161" s="42"/>
      <x:c r="G161" s="42"/>
      <x:c r="H161" s="42"/>
      <x:c r="I161" s="42"/>
      <x:c r="J161" s="42"/>
      <x:c r="K161" s="42"/>
      <x:c r="L161" s="42"/>
      <x:c r="M161" s="42"/>
    </x:row>
    <x:row r="162">
      <x:c r="A162" s="42"/>
      <x:c r="B162" s="42"/>
      <x:c r="C162" s="42"/>
      <x:c r="D162" s="42"/>
      <x:c r="E162" s="42"/>
      <x:c r="F162" s="42"/>
      <x:c r="G162" s="42"/>
      <x:c r="H162" s="42"/>
      <x:c r="I162" s="42"/>
      <x:c r="J162" s="42"/>
      <x:c r="K162" s="42"/>
      <x:c r="L162" s="42"/>
      <x:c r="M162" s="42"/>
    </x:row>
    <x:row r="163">
      <x:c r="A163" s="42"/>
      <x:c r="B163" s="42"/>
      <x:c r="C163" s="42"/>
      <x:c r="D163" s="42"/>
      <x:c r="E163" s="42"/>
      <x:c r="F163" s="42"/>
      <x:c r="G163" s="42"/>
      <x:c r="H163" s="42"/>
      <x:c r="I163" s="42"/>
      <x:c r="J163" s="42"/>
      <x:c r="K163" s="42"/>
      <x:c r="L163" s="42"/>
      <x:c r="M163" s="42"/>
    </x:row>
    <x:row r="164">
      <x:c r="A164" s="42"/>
      <x:c r="B164" s="42"/>
      <x:c r="C164" s="42"/>
      <x:c r="D164" s="42"/>
      <x:c r="E164" s="42"/>
      <x:c r="F164" s="42"/>
      <x:c r="G164" s="42"/>
      <x:c r="H164" s="42"/>
      <x:c r="I164" s="42"/>
      <x:c r="J164" s="42"/>
      <x:c r="K164" s="42"/>
      <x:c r="L164" s="42"/>
      <x:c r="M164" s="42"/>
    </x:row>
    <x:row r="165">
      <x:c r="A165" s="42"/>
      <x:c r="B165" s="42"/>
      <x:c r="C165" s="42"/>
      <x:c r="D165" s="42"/>
      <x:c r="E165" s="42"/>
      <x:c r="F165" s="42"/>
      <x:c r="G165" s="42"/>
      <x:c r="H165" s="42"/>
      <x:c r="I165" s="42"/>
      <x:c r="J165" s="42"/>
      <x:c r="K165" s="42"/>
      <x:c r="L165" s="42"/>
      <x:c r="M165" s="42"/>
    </x:row>
    <x:row r="166">
      <x:c r="A166" s="42"/>
      <x:c r="B166" s="42"/>
      <x:c r="C166" s="42"/>
      <x:c r="D166" s="42"/>
      <x:c r="E166" s="42"/>
      <x:c r="F166" s="42"/>
      <x:c r="G166" s="42"/>
      <x:c r="H166" s="42"/>
      <x:c r="I166" s="42"/>
      <x:c r="J166" s="42"/>
      <x:c r="K166" s="42"/>
      <x:c r="L166" s="42"/>
      <x:c r="M166" s="42"/>
    </x:row>
    <x:row r="167">
      <x:c r="A167" s="42"/>
      <x:c r="B167" s="42"/>
      <x:c r="C167" s="42"/>
      <x:c r="D167" s="42"/>
      <x:c r="E167" s="42"/>
      <x:c r="F167" s="42"/>
      <x:c r="G167" s="42"/>
      <x:c r="H167" s="42"/>
      <x:c r="I167" s="42"/>
      <x:c r="J167" s="42"/>
      <x:c r="K167" s="42"/>
      <x:c r="L167" s="42"/>
      <x:c r="M167" s="42"/>
    </x:row>
    <x:row r="168">
      <x:c r="A168" s="42"/>
      <x:c r="B168" s="42"/>
      <x:c r="C168" s="42"/>
      <x:c r="D168" s="42"/>
      <x:c r="E168" s="42"/>
      <x:c r="F168" s="42"/>
      <x:c r="G168" s="42"/>
      <x:c r="H168" s="42"/>
      <x:c r="I168" s="42"/>
      <x:c r="J168" s="42"/>
      <x:c r="K168" s="42"/>
      <x:c r="L168" s="42"/>
      <x:c r="M168" s="42"/>
    </x:row>
    <x:row r="169">
      <x:c r="A169" s="42"/>
      <x:c r="B169" s="42"/>
      <x:c r="C169" s="42"/>
      <x:c r="D169" s="42"/>
      <x:c r="E169" s="42"/>
      <x:c r="F169" s="42"/>
      <x:c r="G169" s="42"/>
      <x:c r="H169" s="42"/>
      <x:c r="I169" s="42"/>
      <x:c r="J169" s="42"/>
      <x:c r="K169" s="42"/>
      <x:c r="L169" s="42"/>
      <x:c r="M169" s="42"/>
    </x:row>
    <x:row r="170">
      <x:c r="A170" s="42"/>
      <x:c r="B170" s="42"/>
      <x:c r="C170" s="42"/>
      <x:c r="D170" s="42"/>
      <x:c r="E170" s="42"/>
      <x:c r="F170" s="42"/>
      <x:c r="G170" s="42"/>
      <x:c r="H170" s="42"/>
      <x:c r="I170" s="42"/>
      <x:c r="J170" s="42"/>
      <x:c r="K170" s="42"/>
      <x:c r="L170" s="42"/>
      <x:c r="M170" s="42"/>
    </x:row>
    <x:row r="171">
      <x:c r="A171" s="42"/>
      <x:c r="B171" s="42"/>
      <x:c r="C171" s="42"/>
      <x:c r="D171" s="42"/>
      <x:c r="E171" s="42"/>
      <x:c r="F171" s="42"/>
      <x:c r="G171" s="42"/>
      <x:c r="H171" s="42"/>
      <x:c r="I171" s="42"/>
      <x:c r="J171" s="42"/>
      <x:c r="K171" s="42"/>
      <x:c r="L171" s="42"/>
      <x:c r="M171" s="42"/>
    </x:row>
    <x:row r="172">
      <x:c r="A172" s="42"/>
      <x:c r="B172" s="42"/>
      <x:c r="C172" s="42"/>
      <x:c r="D172" s="42"/>
      <x:c r="E172" s="42"/>
      <x:c r="F172" s="42"/>
      <x:c r="G172" s="42"/>
      <x:c r="H172" s="42"/>
      <x:c r="I172" s="42"/>
      <x:c r="J172" s="42"/>
      <x:c r="K172" s="42"/>
      <x:c r="L172" s="42"/>
      <x:c r="M172" s="42"/>
    </x:row>
    <x:row r="173">
      <x:c r="A173" s="42"/>
      <x:c r="B173" s="42"/>
      <x:c r="C173" s="42"/>
      <x:c r="D173" s="42"/>
      <x:c r="E173" s="42"/>
      <x:c r="F173" s="42"/>
      <x:c r="G173" s="42"/>
      <x:c r="H173" s="42"/>
      <x:c r="I173" s="42"/>
      <x:c r="J173" s="42"/>
      <x:c r="K173" s="42"/>
      <x:c r="L173" s="42"/>
      <x:c r="M173" s="42"/>
    </x:row>
    <x:row r="174">
      <x:c r="A174" s="42"/>
      <x:c r="B174" s="42"/>
      <x:c r="C174" s="42"/>
      <x:c r="D174" s="42"/>
      <x:c r="E174" s="42"/>
      <x:c r="F174" s="42"/>
      <x:c r="G174" s="42"/>
      <x:c r="H174" s="42"/>
      <x:c r="I174" s="42"/>
      <x:c r="J174" s="42"/>
      <x:c r="K174" s="42"/>
      <x:c r="L174" s="42"/>
      <x:c r="M174" s="42"/>
    </x:row>
    <x:row r="175">
      <x:c r="A175" s="42"/>
      <x:c r="B175" s="42"/>
      <x:c r="C175" s="42"/>
      <x:c r="D175" s="42"/>
      <x:c r="E175" s="42"/>
      <x:c r="F175" s="42"/>
      <x:c r="G175" s="42"/>
      <x:c r="H175" s="42"/>
      <x:c r="I175" s="42"/>
      <x:c r="J175" s="42"/>
      <x:c r="K175" s="42"/>
      <x:c r="L175" s="42"/>
      <x:c r="M175" s="42"/>
    </x:row>
    <x:row r="176">
      <x:c r="A176" s="42"/>
      <x:c r="B176" s="42"/>
      <x:c r="C176" s="42"/>
      <x:c r="D176" s="42"/>
      <x:c r="E176" s="42"/>
      <x:c r="F176" s="42"/>
      <x:c r="G176" s="42"/>
      <x:c r="H176" s="42"/>
      <x:c r="I176" s="42"/>
      <x:c r="J176" s="42"/>
      <x:c r="K176" s="42"/>
      <x:c r="L176" s="42"/>
      <x:c r="M176" s="42"/>
    </x:row>
    <x:row r="177">
      <x:c r="A177" s="42"/>
      <x:c r="B177" s="42"/>
      <x:c r="C177" s="42"/>
      <x:c r="D177" s="42"/>
      <x:c r="E177" s="42"/>
      <x:c r="F177" s="42"/>
      <x:c r="G177" s="42"/>
      <x:c r="H177" s="42"/>
      <x:c r="I177" s="42"/>
      <x:c r="J177" s="42"/>
      <x:c r="K177" s="42"/>
      <x:c r="L177" s="42"/>
      <x:c r="M177" s="42"/>
    </x:row>
    <x:row r="178">
      <x:c r="A178" s="42"/>
      <x:c r="B178" s="42"/>
      <x:c r="C178" s="42"/>
      <x:c r="D178" s="42"/>
      <x:c r="E178" s="42"/>
      <x:c r="F178" s="42"/>
      <x:c r="G178" s="42"/>
      <x:c r="H178" s="42"/>
      <x:c r="I178" s="42"/>
      <x:c r="J178" s="42"/>
      <x:c r="K178" s="42"/>
      <x:c r="L178" s="42"/>
      <x:c r="M178" s="42"/>
    </x:row>
    <x:row r="179">
      <x:c r="A179" s="42"/>
      <x:c r="B179" s="42"/>
      <x:c r="C179" s="42"/>
      <x:c r="D179" s="42"/>
      <x:c r="E179" s="42"/>
      <x:c r="F179" s="42"/>
      <x:c r="G179" s="42"/>
      <x:c r="H179" s="42"/>
      <x:c r="I179" s="42"/>
      <x:c r="J179" s="42"/>
      <x:c r="K179" s="42"/>
      <x:c r="L179" s="42"/>
      <x:c r="M179" s="42"/>
    </x:row>
    <x:row r="180">
      <x:c r="A180" s="42"/>
      <x:c r="B180" s="42"/>
      <x:c r="C180" s="42"/>
      <x:c r="D180" s="42"/>
      <x:c r="E180" s="42"/>
      <x:c r="F180" s="42"/>
      <x:c r="G180" s="42"/>
      <x:c r="H180" s="42"/>
      <x:c r="I180" s="42"/>
      <x:c r="J180" s="42"/>
      <x:c r="K180" s="42"/>
      <x:c r="L180" s="42"/>
      <x:c r="M180" s="42"/>
    </x:row>
    <x:row r="181">
      <x:c r="A181" s="42"/>
      <x:c r="B181" s="42"/>
      <x:c r="C181" s="42"/>
      <x:c r="D181" s="42"/>
      <x:c r="E181" s="42"/>
      <x:c r="F181" s="42"/>
      <x:c r="G181" s="42"/>
      <x:c r="H181" s="42"/>
      <x:c r="I181" s="42"/>
      <x:c r="J181" s="42"/>
      <x:c r="K181" s="42"/>
      <x:c r="L181" s="42"/>
      <x:c r="M181" s="42"/>
    </x:row>
    <x:row r="182">
      <x:c r="A182" s="42"/>
      <x:c r="B182" s="42"/>
      <x:c r="C182" s="42"/>
      <x:c r="D182" s="42"/>
      <x:c r="E182" s="42"/>
      <x:c r="F182" s="42"/>
      <x:c r="G182" s="42"/>
      <x:c r="H182" s="42"/>
      <x:c r="I182" s="42"/>
      <x:c r="J182" s="42"/>
      <x:c r="K182" s="42"/>
      <x:c r="L182" s="42"/>
      <x:c r="M182" s="42"/>
    </x:row>
    <x:row r="183">
      <x:c r="A183" s="42"/>
      <x:c r="B183" s="42"/>
      <x:c r="C183" s="42"/>
      <x:c r="D183" s="42"/>
      <x:c r="E183" s="42"/>
      <x:c r="F183" s="42"/>
      <x:c r="G183" s="42"/>
      <x:c r="H183" s="42"/>
      <x:c r="I183" s="42"/>
      <x:c r="J183" s="42"/>
      <x:c r="K183" s="42"/>
      <x:c r="L183" s="42"/>
      <x:c r="M183" s="42"/>
    </x:row>
    <x:row r="184">
      <x:c r="A184" s="42"/>
      <x:c r="B184" s="42"/>
      <x:c r="C184" s="42"/>
      <x:c r="D184" s="42"/>
      <x:c r="E184" s="42"/>
      <x:c r="F184" s="42"/>
      <x:c r="G184" s="42"/>
      <x:c r="H184" s="42"/>
      <x:c r="I184" s="42"/>
      <x:c r="J184" s="42"/>
      <x:c r="K184" s="42"/>
      <x:c r="L184" s="42"/>
      <x:c r="M184" s="42"/>
    </x:row>
    <x:row r="185">
      <x:c r="A185" s="42"/>
      <x:c r="B185" s="42"/>
      <x:c r="C185" s="42"/>
      <x:c r="D185" s="42"/>
      <x:c r="E185" s="42"/>
      <x:c r="F185" s="42"/>
      <x:c r="G185" s="42"/>
      <x:c r="H185" s="42"/>
      <x:c r="I185" s="42"/>
      <x:c r="J185" s="42"/>
      <x:c r="K185" s="42"/>
      <x:c r="L185" s="42"/>
      <x:c r="M185" s="42"/>
    </x:row>
    <x:row r="186">
      <x:c r="A186" s="42"/>
      <x:c r="B186" s="42"/>
      <x:c r="C186" s="42"/>
      <x:c r="D186" s="42"/>
      <x:c r="E186" s="42"/>
      <x:c r="F186" s="42"/>
      <x:c r="G186" s="42"/>
      <x:c r="H186" s="42"/>
      <x:c r="I186" s="42"/>
      <x:c r="J186" s="42"/>
      <x:c r="K186" s="42"/>
      <x:c r="L186" s="42"/>
      <x:c r="M186" s="42"/>
    </x:row>
    <x:row r="187">
      <x:c r="A187" s="42"/>
      <x:c r="B187" s="42"/>
      <x:c r="C187" s="42"/>
      <x:c r="D187" s="42"/>
      <x:c r="E187" s="42"/>
      <x:c r="F187" s="42"/>
      <x:c r="G187" s="42"/>
      <x:c r="H187" s="42"/>
      <x:c r="I187" s="42"/>
      <x:c r="J187" s="42"/>
      <x:c r="K187" s="42"/>
      <x:c r="L187" s="42"/>
      <x:c r="M187" s="42"/>
    </x:row>
    <x:row r="188">
      <x:c r="A188" s="42"/>
      <x:c r="B188" s="42"/>
      <x:c r="C188" s="42"/>
      <x:c r="D188" s="42"/>
      <x:c r="E188" s="42"/>
      <x:c r="F188" s="42"/>
      <x:c r="G188" s="42"/>
      <x:c r="H188" s="42"/>
      <x:c r="I188" s="42"/>
      <x:c r="J188" s="42"/>
      <x:c r="K188" s="42"/>
      <x:c r="L188" s="42"/>
      <x:c r="M188" s="42"/>
    </x:row>
    <x:row r="189">
      <x:c r="A189" s="42"/>
      <x:c r="B189" s="42"/>
      <x:c r="C189" s="42"/>
      <x:c r="D189" s="42"/>
      <x:c r="E189" s="42"/>
      <x:c r="F189" s="42"/>
      <x:c r="G189" s="42"/>
      <x:c r="H189" s="42"/>
      <x:c r="I189" s="42"/>
      <x:c r="J189" s="42"/>
      <x:c r="K189" s="42"/>
      <x:c r="L189" s="42"/>
      <x:c r="M189" s="42"/>
    </x:row>
    <x:row r="190">
      <x:c r="A190" s="42"/>
      <x:c r="B190" s="42"/>
      <x:c r="C190" s="42"/>
      <x:c r="D190" s="42"/>
      <x:c r="E190" s="42"/>
      <x:c r="F190" s="42"/>
      <x:c r="G190" s="42"/>
      <x:c r="H190" s="42"/>
      <x:c r="I190" s="42"/>
      <x:c r="J190" s="42"/>
      <x:c r="K190" s="42"/>
      <x:c r="L190" s="42"/>
      <x:c r="M190" s="42"/>
    </x:row>
    <x:row r="191">
      <x:c r="A191" s="42"/>
      <x:c r="B191" s="42"/>
      <x:c r="C191" s="42"/>
      <x:c r="D191" s="42"/>
      <x:c r="E191" s="42"/>
      <x:c r="F191" s="42"/>
      <x:c r="G191" s="42"/>
      <x:c r="H191" s="42"/>
      <x:c r="I191" s="42"/>
      <x:c r="J191" s="42"/>
      <x:c r="K191" s="42"/>
      <x:c r="L191" s="42"/>
      <x:c r="M191" s="42"/>
    </x:row>
    <x:row r="192">
      <x:c r="A192" s="42"/>
      <x:c r="B192" s="42"/>
      <x:c r="C192" s="42"/>
      <x:c r="D192" s="42"/>
      <x:c r="E192" s="42"/>
      <x:c r="F192" s="42"/>
      <x:c r="G192" s="42"/>
      <x:c r="H192" s="42"/>
      <x:c r="I192" s="42"/>
      <x:c r="J192" s="42"/>
      <x:c r="K192" s="42"/>
      <x:c r="L192" s="42"/>
      <x:c r="M192" s="42"/>
    </x:row>
    <x:row r="193">
      <x:c r="A193" s="42"/>
      <x:c r="B193" s="42"/>
      <x:c r="C193" s="42"/>
      <x:c r="D193" s="42"/>
      <x:c r="E193" s="42"/>
      <x:c r="F193" s="42"/>
      <x:c r="G193" s="42"/>
      <x:c r="H193" s="42"/>
      <x:c r="I193" s="42"/>
      <x:c r="J193" s="42"/>
      <x:c r="K193" s="42"/>
      <x:c r="L193" s="42"/>
      <x:c r="M193" s="42"/>
    </x:row>
    <x:row r="194">
      <x:c r="A194" s="42"/>
      <x:c r="B194" s="42"/>
      <x:c r="C194" s="42"/>
      <x:c r="D194" s="42"/>
      <x:c r="E194" s="42"/>
      <x:c r="F194" s="42"/>
      <x:c r="G194" s="42"/>
      <x:c r="H194" s="42"/>
      <x:c r="I194" s="42"/>
      <x:c r="J194" s="42"/>
      <x:c r="K194" s="42"/>
      <x:c r="L194" s="42"/>
      <x:c r="M194" s="42"/>
    </x:row>
    <x:row r="195">
      <x:c r="A195" s="42"/>
      <x:c r="B195" s="42"/>
      <x:c r="C195" s="42"/>
      <x:c r="D195" s="42"/>
      <x:c r="E195" s="42"/>
      <x:c r="F195" s="42"/>
      <x:c r="G195" s="42"/>
      <x:c r="H195" s="42"/>
      <x:c r="I195" s="42"/>
      <x:c r="J195" s="42"/>
      <x:c r="K195" s="42"/>
      <x:c r="L195" s="42"/>
      <x:c r="M195" s="42"/>
    </x:row>
    <x:row r="196">
      <x:c r="A196" s="42"/>
      <x:c r="B196" s="42"/>
      <x:c r="C196" s="42"/>
      <x:c r="D196" s="42"/>
      <x:c r="E196" s="42"/>
      <x:c r="F196" s="42"/>
      <x:c r="G196" s="42"/>
      <x:c r="H196" s="42"/>
      <x:c r="I196" s="42"/>
      <x:c r="J196" s="42"/>
      <x:c r="K196" s="42"/>
      <x:c r="L196" s="42"/>
      <x:c r="M196" s="42"/>
    </x:row>
    <x:row r="197">
      <x:c r="A197" s="42"/>
      <x:c r="B197" s="42"/>
      <x:c r="C197" s="42"/>
      <x:c r="D197" s="42"/>
      <x:c r="E197" s="42"/>
      <x:c r="F197" s="42"/>
      <x:c r="G197" s="42"/>
      <x:c r="H197" s="42"/>
      <x:c r="I197" s="42"/>
      <x:c r="J197" s="42"/>
      <x:c r="K197" s="42"/>
      <x:c r="L197" s="42"/>
      <x:c r="M197" s="42"/>
    </x:row>
    <x:row r="198">
      <x:c r="A198" s="42"/>
      <x:c r="B198" s="42"/>
      <x:c r="C198" s="42"/>
      <x:c r="D198" s="42"/>
      <x:c r="E198" s="42"/>
      <x:c r="F198" s="42"/>
      <x:c r="G198" s="42"/>
      <x:c r="H198" s="42"/>
      <x:c r="I198" s="42"/>
      <x:c r="J198" s="42"/>
      <x:c r="K198" s="42"/>
      <x:c r="L198" s="42"/>
      <x:c r="M198" s="42"/>
    </x:row>
    <x:row r="199">
      <x:c r="A199" s="42"/>
      <x:c r="B199" s="42"/>
      <x:c r="C199" s="42"/>
      <x:c r="D199" s="42"/>
      <x:c r="E199" s="42"/>
      <x:c r="F199" s="42"/>
      <x:c r="G199" s="42"/>
      <x:c r="H199" s="42"/>
      <x:c r="I199" s="42"/>
      <x:c r="J199" s="42"/>
      <x:c r="K199" s="42"/>
      <x:c r="L199" s="42"/>
      <x:c r="M199" s="42"/>
    </x:row>
    <x:row r="200">
      <x:c r="A200" s="42"/>
      <x:c r="B200" s="42"/>
      <x:c r="C200" s="42"/>
      <x:c r="D200" s="42"/>
      <x:c r="E200" s="42"/>
      <x:c r="F200" s="42"/>
      <x:c r="G200" s="42"/>
      <x:c r="H200" s="42"/>
      <x:c r="I200" s="42"/>
      <x:c r="J200" s="42"/>
      <x:c r="K200" s="42"/>
      <x:c r="L200" s="42"/>
      <x:c r="M200" s="42"/>
    </x:row>
  </x:sheetData>
  <x:mergeCells>
    <x:mergeCell ref="A1:M1"/>
    <x:mergeCell ref="A2:M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.630001068115234" hidden="0" customWidth="1"/>
    <x:col min="2" max="2" width="11.880000114440918" hidden="0" customWidth="1"/>
    <x:col min="3" max="3" width="11.880000114440918" hidden="0" customWidth="1"/>
    <x:col min="4" max="4" width="11.880000114440918" hidden="0" customWidth="1"/>
    <x:col min="5" max="5" width="11.880000114440918" hidden="0" customWidth="1"/>
    <x:col min="6" max="6" width="11.880000114440918" hidden="0" customWidth="1"/>
    <x:col min="7" max="7" width="11.880000114440918" hidden="0" customWidth="1"/>
    <x:col min="8" max="8" width="11.880000114440918" hidden="0" customWidth="1"/>
    <x:col min="9" max="9" width="11.880000114440918" hidden="0" customWidth="1"/>
    <x:col min="10" max="10" width="11.880000114440918" hidden="0" customWidth="1"/>
    <x:col min="11" max="11" width="11.880000114440918" hidden="0" customWidth="1"/>
    <x:col min="12" max="12" width="11.880000114440918" hidden="0" customWidth="1"/>
    <x:col min="13" max="13" width="11.880000114440918" hidden="0" customWidth="1"/>
  </x:cols>
  <x:sheetData>
    <x:row r="1" ht="25.5" customHeight="1">
      <x:c r="A1" s="41" t="str">
        <x:v>Лист 5. Расходы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</x:row>
    <x:row r="2" ht="22.5" customHeight="1">
      <x:c r="A2" s="43" t="str">
        <x:v>AI-инфраструктура, серверы, домен, хранение, маркетинг, поддержка, модерация, команда и налоги.</x:v>
      </x:c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</x:row>
    <x:row r="3">
      <x:c r="A3" s="42"/>
      <x:c r="B3" s="42"/>
      <x:c r="C3" s="42"/>
      <x:c r="D3" s="42"/>
      <x:c r="E3" s="42"/>
      <x:c r="F3" s="42"/>
      <x:c r="G3" s="42"/>
      <x:c r="H3" s="42"/>
      <x:c r="I3" s="42"/>
      <x:c r="J3" s="42"/>
      <x:c r="K3" s="42"/>
      <x:c r="L3" s="42"/>
      <x:c r="M3" s="42"/>
    </x:row>
    <x:row r="4">
      <x:c r="A4" s="44" t="str">
        <x:v>Показатель</x:v>
      </x:c>
      <x:c r="B4" s="44" t="str">
        <x:v>М1</x:v>
      </x:c>
      <x:c r="C4" s="44" t="str">
        <x:v>М2</x:v>
      </x:c>
      <x:c r="D4" s="44" t="str">
        <x:v>М3</x:v>
      </x:c>
      <x:c r="E4" s="44" t="str">
        <x:v>М4</x:v>
      </x:c>
      <x:c r="F4" s="44" t="str">
        <x:v>М5</x:v>
      </x:c>
      <x:c r="G4" s="44" t="str">
        <x:v>М6</x:v>
      </x:c>
      <x:c r="H4" s="44" t="str">
        <x:v>М7</x:v>
      </x:c>
      <x:c r="I4" s="44" t="str">
        <x:v>М8</x:v>
      </x:c>
      <x:c r="J4" s="44" t="str">
        <x:v>М9</x:v>
      </x:c>
      <x:c r="K4" s="44" t="str">
        <x:v>М10</x:v>
      </x:c>
      <x:c r="L4" s="44" t="str">
        <x:v>М11</x:v>
      </x:c>
      <x:c r="M4" s="44" t="str">
        <x:v>М12</x:v>
      </x:c>
    </x:row>
    <x:row r="5">
      <x:c r="A5" s="45" t="str">
        <x:v>Free AI-анализы</x:v>
      </x:c>
      <x:c r="B5" s="62" t="n">
        <x:f>'Пользовательская воронка'!B10*'Исходные данные'!$B$15</x:f>
        <x:v>230</x:v>
      </x:c>
      <x:c r="C5" s="62" t="n">
        <x:f>'Пользовательская воронка'!C10*'Исходные данные'!$B$15</x:f>
        <x:v>646</x:v>
      </x:c>
      <x:c r="D5" s="62" t="n">
        <x:f>'Пользовательская воронка'!D10*'Исходные данные'!$B$15</x:f>
        <x:v>1486</x:v>
      </x:c>
      <x:c r="E5" s="62" t="n">
        <x:f>'Пользовательская воронка'!E10*'Исходные данные'!$B$15</x:f>
        <x:v>2866</x:v>
      </x:c>
      <x:c r="F5" s="62" t="n">
        <x:f>'Пользовательская воронка'!F10*'Исходные данные'!$B$15</x:f>
        <x:v>5512</x:v>
      </x:c>
      <x:c r="G5" s="62" t="n">
        <x:f>'Пользовательская воронка'!G10*'Исходные данные'!$B$15</x:f>
        <x:v>10062</x:v>
      </x:c>
      <x:c r="H5" s="62" t="n">
        <x:f>'Пользовательская воронка'!H10*'Исходные данные'!$B$15</x:f>
        <x:v>16872</x:v>
      </x:c>
      <x:c r="I5" s="62" t="n">
        <x:f>'Пользовательская воронка'!I10*'Исходные данные'!$B$15</x:f>
        <x:v>26800</x:v>
      </x:c>
      <x:c r="J5" s="62" t="n">
        <x:f>'Пользовательская воронка'!J10*'Исходные данные'!$B$15</x:f>
        <x:v>39350</x:v>
      </x:c>
      <x:c r="K5" s="62" t="n">
        <x:f>'Пользовательская воронка'!K10*'Исходные данные'!$B$15</x:f>
        <x:v>55586</x:v>
      </x:c>
      <x:c r="L5" s="62" t="n">
        <x:f>'Пользовательская воронка'!L10*'Исходные данные'!$B$15</x:f>
        <x:v>73570</x:v>
      </x:c>
      <x:c r="M5" s="62" t="n">
        <x:f>'Пользовательская воронка'!M10*'Исходные данные'!$B$15</x:f>
        <x:v>93360</x:v>
      </x:c>
    </x:row>
    <x:row r="6">
      <x:c r="A6" s="45" t="str">
        <x:v>Starter AI-анализы</x:v>
      </x:c>
      <x:c r="B6" s="62" t="n">
        <x:f>'Конверсии по тарифам'!B16*'Исходные данные'!$I$6</x:f>
        <x:v>50</x:v>
      </x:c>
      <x:c r="C6" s="62" t="n">
        <x:f>'Конверсии по тарифам'!C16*'Исходные данные'!$I$6</x:f>
        <x:v>150</x:v>
      </x:c>
      <x:c r="D6" s="62" t="n">
        <x:f>'Конверсии по тарифам'!D16*'Исходные данные'!$I$6</x:f>
        <x:v>400</x:v>
      </x:c>
      <x:c r="E6" s="62" t="n">
        <x:f>'Конверсии по тарифам'!E16*'Исходные данные'!$I$6</x:f>
        <x:v>825</x:v>
      </x:c>
      <x:c r="F6" s="62" t="n">
        <x:f>'Конверсии по тарифам'!F16*'Исходные данные'!$I$6</x:f>
        <x:v>1650</x:v>
      </x:c>
      <x:c r="G6" s="62" t="n">
        <x:f>'Конверсии по тарифам'!G16*'Исходные данные'!$I$6</x:f>
        <x:v>3250</x:v>
      </x:c>
      <x:c r="H6" s="62" t="n">
        <x:f>'Конверсии по тарифам'!H16*'Исходные данные'!$I$6</x:f>
        <x:v>5825</x:v>
      </x:c>
      <x:c r="I6" s="62" t="n">
        <x:f>'Конверсии по тарифам'!I16*'Исходные данные'!$I$6</x:f>
        <x:v>10025</x:v>
      </x:c>
      <x:c r="J6" s="62" t="n">
        <x:f>'Конверсии по тарифам'!J16*'Исходные данные'!$I$6</x:f>
        <x:v>15800</x:v>
      </x:c>
      <x:c r="K6" s="62" t="n">
        <x:f>'Конверсии по тарифам'!K16*'Исходные данные'!$I$6</x:f>
        <x:v>23900</x:v>
      </x:c>
      <x:c r="L6" s="62" t="n">
        <x:f>'Конверсии по тарифам'!L16*'Исходные данные'!$I$6</x:f>
        <x:v>33850</x:v>
      </x:c>
      <x:c r="M6" s="62" t="n">
        <x:f>'Конверсии по тарифам'!M16*'Исходные данные'!$I$6</x:f>
        <x:v>45650</x:v>
      </x:c>
    </x:row>
    <x:row r="7">
      <x:c r="A7" s="45" t="str">
        <x:v>Pro AI-анализы</x:v>
      </x:c>
      <x:c r="B7" s="62" t="n">
        <x:f>'Конверсии по тарифам'!B21*'Исходные данные'!$I$7</x:f>
        <x:v>70</x:v>
      </x:c>
      <x:c r="C7" s="62" t="n">
        <x:f>'Конверсии по тарифам'!C21*'Исходные данные'!$I$7</x:f>
        <x:v>140</x:v>
      </x:c>
      <x:c r="D7" s="62" t="n">
        <x:f>'Конверсии по тарифам'!D21*'Исходные данные'!$I$7</x:f>
        <x:v>420</x:v>
      </x:c>
      <x:c r="E7" s="62" t="n">
        <x:f>'Конверсии по тарифам'!E21*'Исходные данные'!$I$7</x:f>
        <x:v>910</x:v>
      </x:c>
      <x:c r="F7" s="62" t="n">
        <x:f>'Конверсии по тарифам'!F21*'Исходные данные'!$I$7</x:f>
        <x:v>2030</x:v>
      </x:c>
      <x:c r="G7" s="62" t="n">
        <x:f>'Конверсии по тарифам'!G21*'Исходные данные'!$I$7</x:f>
        <x:v>4060</x:v>
      </x:c>
      <x:c r="H7" s="62" t="n">
        <x:f>'Конверсии по тарифам'!H21*'Исходные данные'!$I$7</x:f>
        <x:v>7420</x:v>
      </x:c>
      <x:c r="I7" s="62" t="n">
        <x:f>'Конверсии по тарифам'!I21*'Исходные данные'!$I$7</x:f>
        <x:v>13020</x:v>
      </x:c>
      <x:c r="J7" s="62" t="n">
        <x:f>'Конверсии по тарифам'!J21*'Исходные данные'!$I$7</x:f>
        <x:v>21350</x:v>
      </x:c>
      <x:c r="K7" s="62" t="n">
        <x:f>'Конверсии по тарифам'!K21*'Исходные данные'!$I$7</x:f>
        <x:v>33740</x:v>
      </x:c>
      <x:c r="L7" s="62" t="n">
        <x:f>'Конверсии по тарифам'!L21*'Исходные данные'!$I$7</x:f>
        <x:v>50190</x:v>
      </x:c>
      <x:c r="M7" s="62" t="n">
        <x:f>'Конверсии по тарифам'!M21*'Исходные данные'!$I$7</x:f>
        <x:v>71260</x:v>
      </x:c>
    </x:row>
    <x:row r="8">
      <x:c r="A8" s="45" t="str">
        <x:v>MAX AI-анализы</x:v>
      </x:c>
      <x:c r="B8" s="62" t="n">
        <x:f>'Конверсии по тарифам'!B24*'Исходные данные'!$I$8</x:f>
        <x:v>0</x:v>
      </x:c>
      <x:c r="C8" s="62" t="n">
        <x:f>'Конверсии по тарифам'!C24*'Исходные данные'!$I$8</x:f>
        <x:v>0</x:v>
      </x:c>
      <x:c r="D8" s="62" t="n">
        <x:f>'Конверсии по тарифам'!D24*'Исходные данные'!$I$8</x:f>
        <x:v>0</x:v>
      </x:c>
      <x:c r="E8" s="62" t="n">
        <x:f>'Конверсии по тарифам'!E24*'Исходные данные'!$I$8</x:f>
        <x:v>150</x:v>
      </x:c>
      <x:c r="F8" s="62" t="n">
        <x:f>'Конверсии по тарифам'!F24*'Исходные данные'!$I$8</x:f>
        <x:v>450</x:v>
      </x:c>
      <x:c r="G8" s="62" t="n">
        <x:f>'Конверсии по тарифам'!G24*'Исходные данные'!$I$8</x:f>
        <x:v>1050</x:v>
      </x:c>
      <x:c r="H8" s="62" t="n">
        <x:f>'Конверсии по тарифам'!H24*'Исходные данные'!$I$8</x:f>
        <x:v>2100</x:v>
      </x:c>
      <x:c r="I8" s="62" t="n">
        <x:f>'Конверсии по тарифам'!I24*'Исходные данные'!$I$8</x:f>
        <x:v>3900</x:v>
      </x:c>
      <x:c r="J8" s="62" t="n">
        <x:f>'Конверсии по тарифам'!J24*'Исходные данные'!$I$8</x:f>
        <x:v>6600</x:v>
      </x:c>
      <x:c r="K8" s="62" t="n">
        <x:f>'Конверсии по тарифам'!K24*'Исходные данные'!$I$8</x:f>
        <x:v>10800</x:v>
      </x:c>
      <x:c r="L8" s="62" t="n">
        <x:f>'Конверсии по тарифам'!L24*'Исходные данные'!$I$8</x:f>
        <x:v>17100</x:v>
      </x:c>
      <x:c r="M8" s="62" t="n">
        <x:f>'Конверсии по тарифам'!M24*'Исходные данные'!$I$8</x:f>
        <x:v>25350</x:v>
      </x:c>
    </x:row>
    <x:row r="9">
      <x:c r="A9" s="45" t="str">
        <x:v>Всего AI-анализов</x:v>
      </x:c>
      <x:c r="B9" s="62" t="n">
        <x:f>B5+B6+B7+B8</x:f>
        <x:v>350</x:v>
      </x:c>
      <x:c r="C9" s="62" t="n">
        <x:f>C5+C6+C7+C8</x:f>
        <x:v>936</x:v>
      </x:c>
      <x:c r="D9" s="62" t="n">
        <x:f>D5+D6+D7+D8</x:f>
        <x:v>2306</x:v>
      </x:c>
      <x:c r="E9" s="62" t="n">
        <x:f>E5+E6+E7+E8</x:f>
        <x:v>4751</x:v>
      </x:c>
      <x:c r="F9" s="62" t="n">
        <x:f>F5+F6+F7+F8</x:f>
        <x:v>9642</x:v>
      </x:c>
      <x:c r="G9" s="62" t="n">
        <x:f>G5+G6+G7+G8</x:f>
        <x:v>18422</x:v>
      </x:c>
      <x:c r="H9" s="62" t="n">
        <x:f>H5+H6+H7+H8</x:f>
        <x:v>32217</x:v>
      </x:c>
      <x:c r="I9" s="62" t="n">
        <x:f>I5+I6+I7+I8</x:f>
        <x:v>53745</x:v>
      </x:c>
      <x:c r="J9" s="62" t="n">
        <x:f>J5+J6+J7+J8</x:f>
        <x:v>83100</x:v>
      </x:c>
      <x:c r="K9" s="62" t="n">
        <x:f>K5+K6+K7+K8</x:f>
        <x:v>124026</x:v>
      </x:c>
      <x:c r="L9" s="62" t="n">
        <x:f>L5+L6+L7+L8</x:f>
        <x:v>174710</x:v>
      </x:c>
      <x:c r="M9" s="62" t="n">
        <x:f>M5+M6+M7+M8</x:f>
        <x:v>235620</x:v>
      </x:c>
    </x:row>
    <x:row r="10">
      <x:c r="A10" s="45" t="str">
        <x:v>AI cost / анализ</x:v>
      </x:c>
      <x:c r="B10" s="54" t="n">
        <x:f>'Исходные данные'!$B$14</x:f>
        <x:v>0.49104832500000006</x:v>
      </x:c>
      <x:c r="C10" s="54" t="n">
        <x:f>'Исходные данные'!$B$14</x:f>
        <x:v>0.49104832500000006</x:v>
      </x:c>
      <x:c r="D10" s="54" t="n">
        <x:f>'Исходные данные'!$B$14</x:f>
        <x:v>0.49104832500000006</x:v>
      </x:c>
      <x:c r="E10" s="54" t="n">
        <x:f>'Исходные данные'!$B$14</x:f>
        <x:v>0.49104832500000006</x:v>
      </x:c>
      <x:c r="F10" s="54" t="n">
        <x:f>'Исходные данные'!$B$14</x:f>
        <x:v>0.49104832500000006</x:v>
      </x:c>
      <x:c r="G10" s="54" t="n">
        <x:f>'Исходные данные'!$B$14</x:f>
        <x:v>0.49104832500000006</x:v>
      </x:c>
      <x:c r="H10" s="54" t="n">
        <x:f>'Исходные данные'!$B$14</x:f>
        <x:v>0.49104832500000006</x:v>
      </x:c>
      <x:c r="I10" s="54" t="n">
        <x:f>'Исходные данные'!$B$14</x:f>
        <x:v>0.49104832500000006</x:v>
      </x:c>
      <x:c r="J10" s="54" t="n">
        <x:f>'Исходные данные'!$B$14</x:f>
        <x:v>0.49104832500000006</x:v>
      </x:c>
      <x:c r="K10" s="54" t="n">
        <x:f>'Исходные данные'!$B$14</x:f>
        <x:v>0.49104832500000006</x:v>
      </x:c>
      <x:c r="L10" s="54" t="n">
        <x:f>'Исходные данные'!$B$14</x:f>
        <x:v>0.49104832500000006</x:v>
      </x:c>
      <x:c r="M10" s="54" t="n">
        <x:f>'Исходные данные'!$B$14</x:f>
        <x:v>0.49104832500000006</x:v>
      </x:c>
    </x:row>
    <x:row r="11">
      <x:c r="A11" s="45" t="str">
        <x:v>AI-инфраструктура</x:v>
      </x:c>
      <x:c r="B11" s="54" t="n">
        <x:f>B9*B10</x:f>
        <x:v>171.86691375</x:v>
      </x:c>
      <x:c r="C11" s="54" t="n">
        <x:f>C9*C10</x:f>
        <x:v>459.62123220000007</x:v>
      </x:c>
      <x:c r="D11" s="54" t="n">
        <x:f>D9*D10</x:f>
        <x:v>1132.3574374500001</x:v>
      </x:c>
      <x:c r="E11" s="54" t="n">
        <x:f>E9*E10</x:f>
        <x:v>2332.9705920750002</x:v>
      </x:c>
      <x:c r="F11" s="54" t="n">
        <x:f>F9*F10</x:f>
        <x:v>4734.6879496500005</x:v>
      </x:c>
      <x:c r="G11" s="54" t="n">
        <x:f>G9*G10</x:f>
        <x:v>9046.09224315</x:v>
      </x:c>
      <x:c r="H11" s="54" t="n">
        <x:f>H9*H10</x:f>
        <x:v>15820.103886525001</x:v>
      </x:c>
      <x:c r="I11" s="54" t="n">
        <x:f>I9*I10</x:f>
        <x:v>26391.392227125005</x:v>
      </x:c>
      <x:c r="J11" s="54" t="n">
        <x:f>J9*J10</x:f>
        <x:v>40806.115807500006</x:v>
      </x:c>
      <x:c r="K11" s="54" t="n">
        <x:f>K9*K10</x:f>
        <x:v>60902.75955645001</x:v>
      </x:c>
      <x:c r="L11" s="54" t="n">
        <x:f>L9*L10</x:f>
        <x:v>85791.05286075002</x:v>
      </x:c>
      <x:c r="M11" s="54" t="n">
        <x:f>M9*M10</x:f>
        <x:v>115700.80633650001</x:v>
      </x:c>
    </x:row>
    <x:row r="12">
      <x:c r="A12" s="45" t="str">
        <x:v>Серверы</x:v>
      </x:c>
      <x:c r="B12" s="54" t="n">
        <x:f>'Исходные данные'!$B$23*'Исходные данные'!B58</x:f>
        <x:v>3000</x:v>
      </x:c>
      <x:c r="C12" s="54" t="n">
        <x:f>'Исходные данные'!$B$23*'Исходные данные'!C58</x:f>
        <x:v>3000</x:v>
      </x:c>
      <x:c r="D12" s="54" t="n">
        <x:f>'Исходные данные'!$B$23*'Исходные данные'!D58</x:f>
        <x:v>3000</x:v>
      </x:c>
      <x:c r="E12" s="54" t="n">
        <x:f>'Исходные данные'!$B$23*'Исходные данные'!E58</x:f>
        <x:v>4500</x:v>
      </x:c>
      <x:c r="F12" s="54" t="n">
        <x:f>'Исходные данные'!$B$23*'Исходные данные'!F58</x:f>
        <x:v>4500</x:v>
      </x:c>
      <x:c r="G12" s="54" t="n">
        <x:f>'Исходные данные'!$B$23*'Исходные данные'!G58</x:f>
        <x:v>6000</x:v>
      </x:c>
      <x:c r="H12" s="54" t="n">
        <x:f>'Исходные данные'!$B$23*'Исходные данные'!H58</x:f>
        <x:v>7500</x:v>
      </x:c>
      <x:c r="I12" s="54" t="n">
        <x:f>'Исходные данные'!$B$23*'Исходные данные'!I58</x:f>
        <x:v>9000</x:v>
      </x:c>
      <x:c r="J12" s="54" t="n">
        <x:f>'Исходные данные'!$B$23*'Исходные данные'!J58</x:f>
        <x:v>10500</x:v>
      </x:c>
      <x:c r="K12" s="54" t="n">
        <x:f>'Исходные данные'!$B$23*'Исходные данные'!K58</x:f>
        <x:v>12000</x:v>
      </x:c>
      <x:c r="L12" s="54" t="n">
        <x:f>'Исходные данные'!$B$23*'Исходные данные'!L58</x:f>
        <x:v>13500</x:v>
      </x:c>
      <x:c r="M12" s="54" t="n">
        <x:f>'Исходные данные'!$B$23*'Исходные данные'!M58</x:f>
        <x:v>15000</x:v>
      </x:c>
    </x:row>
    <x:row r="13">
      <x:c r="A13" s="45" t="str">
        <x:v>Хранение файлов / БД</x:v>
      </x:c>
      <x:c r="B13" s="54" t="n">
        <x:f>'Исходные данные'!$B$22*'Исходные данные'!B59</x:f>
        <x:v>700</x:v>
      </x:c>
      <x:c r="C13" s="54" t="n">
        <x:f>'Исходные данные'!$B$22*'Исходные данные'!C59</x:f>
        <x:v>840</x:v>
      </x:c>
      <x:c r="D13" s="54" t="n">
        <x:f>'Исходные данные'!$B$22*'Исходные данные'!D59</x:f>
        <x:v>1050</x:v>
      </x:c>
      <x:c r="E13" s="54" t="n">
        <x:f>'Исходные данные'!$B$22*'Исходные данные'!E59</x:f>
        <x:v>1400</x:v>
      </x:c>
      <x:c r="F13" s="54" t="n">
        <x:f>'Исходные данные'!$B$22*'Исходные данные'!F59</x:f>
        <x:v>1750</x:v>
      </x:c>
      <x:c r="G13" s="54" t="n">
        <x:f>'Исходные данные'!$B$22*'Исходные данные'!G59</x:f>
        <x:v>2100</x:v>
      </x:c>
      <x:c r="H13" s="54" t="n">
        <x:f>'Исходные данные'!$B$22*'Исходные данные'!H59</x:f>
        <x:v>2800</x:v>
      </x:c>
      <x:c r="I13" s="54" t="n">
        <x:f>'Исходные данные'!$B$22*'Исходные данные'!I59</x:f>
        <x:v>3500</x:v>
      </x:c>
      <x:c r="J13" s="54" t="n">
        <x:f>'Исходные данные'!$B$22*'Исходные данные'!J59</x:f>
        <x:v>4200</x:v>
      </x:c>
      <x:c r="K13" s="54" t="n">
        <x:f>'Исходные данные'!$B$22*'Исходные данные'!K59</x:f>
        <x:v>4900</x:v>
      </x:c>
      <x:c r="L13" s="54" t="n">
        <x:f>'Исходные данные'!$B$22*'Исходные данные'!L59</x:f>
        <x:v>5600</x:v>
      </x:c>
      <x:c r="M13" s="54" t="n">
        <x:f>'Исходные данные'!$B$22*'Исходные данные'!M59</x:f>
        <x:v>7000</x:v>
      </x:c>
    </x:row>
    <x:row r="14">
      <x:c r="A14" s="45" t="str">
        <x:v>Домен / DNS / SSL</x:v>
      </x:c>
      <x:c r="B14" s="54" t="n">
        <x:f>'Исходные данные'!$B$21</x:f>
        <x:v>250</x:v>
      </x:c>
      <x:c r="C14" s="54" t="n">
        <x:f>'Исходные данные'!$B$21</x:f>
        <x:v>250</x:v>
      </x:c>
      <x:c r="D14" s="54" t="n">
        <x:f>'Исходные данные'!$B$21</x:f>
        <x:v>250</x:v>
      </x:c>
      <x:c r="E14" s="54" t="n">
        <x:f>'Исходные данные'!$B$21</x:f>
        <x:v>250</x:v>
      </x:c>
      <x:c r="F14" s="54" t="n">
        <x:f>'Исходные данные'!$B$21</x:f>
        <x:v>250</x:v>
      </x:c>
      <x:c r="G14" s="54" t="n">
        <x:f>'Исходные данные'!$B$21</x:f>
        <x:v>250</x:v>
      </x:c>
      <x:c r="H14" s="54" t="n">
        <x:f>'Исходные данные'!$B$21</x:f>
        <x:v>250</x:v>
      </x:c>
      <x:c r="I14" s="54" t="n">
        <x:f>'Исходные данные'!$B$21</x:f>
        <x:v>250</x:v>
      </x:c>
      <x:c r="J14" s="54" t="n">
        <x:f>'Исходные данные'!$B$21</x:f>
        <x:v>250</x:v>
      </x:c>
      <x:c r="K14" s="54" t="n">
        <x:f>'Исходные данные'!$B$21</x:f>
        <x:v>250</x:v>
      </x:c>
      <x:c r="L14" s="54" t="n">
        <x:f>'Исходные данные'!$B$21</x:f>
        <x:v>250</x:v>
      </x:c>
      <x:c r="M14" s="54" t="n">
        <x:f>'Исходные данные'!$B$21</x:f>
        <x:v>250</x:v>
      </x:c>
    </x:row>
    <x:row r="15">
      <x:c r="A15" s="45" t="str">
        <x:v>Поддержка пользователей</x:v>
      </x:c>
      <x:c r="B15" s="54" t="n">
        <x:f>'Конверсии по тарифам'!B25*'Исходные данные'!$B$19</x:f>
        <x:v>24</x:v>
      </x:c>
      <x:c r="C15" s="54" t="n">
        <x:f>'Конверсии по тарифам'!C25*'Исходные данные'!$B$19</x:f>
        <x:v>64</x:v>
      </x:c>
      <x:c r="D15" s="54" t="n">
        <x:f>'Конверсии по тарифам'!D25*'Исходные данные'!$B$19</x:f>
        <x:v>176</x:v>
      </x:c>
      <x:c r="E15" s="54" t="n">
        <x:f>'Конверсии по тарифам'!E25*'Исходные данные'!$B$19</x:f>
        <x:v>376</x:v>
      </x:c>
      <x:c r="F15" s="54" t="n">
        <x:f>'Конверсии по тарифам'!F25*'Исходные данные'!$B$19</x:f>
        <x:v>784</x:v>
      </x:c>
      <x:c r="G15" s="54" t="n">
        <x:f>'Конверсии по тарифам'!G25*'Исходные данные'!$B$19</x:f>
        <x:v>1560</x:v>
      </x:c>
      <x:c r="H15" s="54" t="n">
        <x:f>'Конверсии по тарифам'!H25*'Исходные данные'!$B$19</x:f>
        <x:v>2824</x:v>
      </x:c>
      <x:c r="I15" s="54" t="n">
        <x:f>'Конверсии по тарифам'!I25*'Исходные данные'!$B$19</x:f>
        <x:v>4904</x:v>
      </x:c>
      <x:c r="J15" s="54" t="n">
        <x:f>'Конверсии по тарифам'!J25*'Исходные данные'!$B$19</x:f>
        <x:v>7848</x:v>
      </x:c>
      <x:c r="K15" s="54" t="n">
        <x:f>'Конверсии по тарифам'!K25*'Исходные данные'!$B$19</x:f>
        <x:v>12080</x:v>
      </x:c>
      <x:c r="L15" s="54" t="n">
        <x:f>'Конверсии по тарифам'!L25*'Исходные данные'!$B$19</x:f>
        <x:v>17480</x:v>
      </x:c>
      <x:c r="M15" s="54" t="n">
        <x:f>'Конверсии по тарифам'!M25*'Исходные данные'!$B$19</x:f>
        <x:v>24104</x:v>
      </x:c>
    </x:row>
    <x:row r="16">
      <x:c r="A16" s="45" t="str">
        <x:v>Модерация</x:v>
      </x:c>
      <x:c r="B16" s="54" t="n">
        <x:f>'Конверсии по тарифам'!B25*'Исходные данные'!$B$20</x:f>
        <x:v>9</x:v>
      </x:c>
      <x:c r="C16" s="54" t="n">
        <x:f>'Конверсии по тарифам'!C25*'Исходные данные'!$B$20</x:f>
        <x:v>24</x:v>
      </x:c>
      <x:c r="D16" s="54" t="n">
        <x:f>'Конверсии по тарифам'!D25*'Исходные данные'!$B$20</x:f>
        <x:v>66</x:v>
      </x:c>
      <x:c r="E16" s="54" t="n">
        <x:f>'Конверсии по тарифам'!E25*'Исходные данные'!$B$20</x:f>
        <x:v>141</x:v>
      </x:c>
      <x:c r="F16" s="54" t="n">
        <x:f>'Конверсии по тарифам'!F25*'Исходные данные'!$B$20</x:f>
        <x:v>294</x:v>
      </x:c>
      <x:c r="G16" s="54" t="n">
        <x:f>'Конверсии по тарифам'!G25*'Исходные данные'!$B$20</x:f>
        <x:v>585</x:v>
      </x:c>
      <x:c r="H16" s="54" t="n">
        <x:f>'Конверсии по тарифам'!H25*'Исходные данные'!$B$20</x:f>
        <x:v>1059</x:v>
      </x:c>
      <x:c r="I16" s="54" t="n">
        <x:f>'Конверсии по тарифам'!I25*'Исходные данные'!$B$20</x:f>
        <x:v>1839</x:v>
      </x:c>
      <x:c r="J16" s="54" t="n">
        <x:f>'Конверсии по тарифам'!J25*'Исходные данные'!$B$20</x:f>
        <x:v>2943</x:v>
      </x:c>
      <x:c r="K16" s="54" t="n">
        <x:f>'Конверсии по тарифам'!K25*'Исходные данные'!$B$20</x:f>
        <x:v>4530</x:v>
      </x:c>
      <x:c r="L16" s="54" t="n">
        <x:f>'Конверсии по тарифам'!L25*'Исходные данные'!$B$20</x:f>
        <x:v>6555</x:v>
      </x:c>
      <x:c r="M16" s="54" t="n">
        <x:f>'Конверсии по тарифам'!M25*'Исходные данные'!$B$20</x:f>
        <x:v>9039</x:v>
      </x:c>
    </x:row>
    <x:row r="17">
      <x:c r="A17" s="45" t="str">
        <x:v>Маркетинг</x:v>
      </x:c>
      <x:c r="B17" s="54" t="n">
        <x:f>'Исходные данные'!B54</x:f>
        <x:v>20000</x:v>
      </x:c>
      <x:c r="C17" s="54" t="n">
        <x:f>'Исходные данные'!C54</x:f>
        <x:v>35000</x:v>
      </x:c>
      <x:c r="D17" s="54" t="n">
        <x:f>'Исходные данные'!D54</x:f>
        <x:v>50000</x:v>
      </x:c>
      <x:c r="E17" s="54" t="n">
        <x:f>'Исходные данные'!E54</x:f>
        <x:v>70000</x:v>
      </x:c>
      <x:c r="F17" s="54" t="n">
        <x:f>'Исходные данные'!F54</x:f>
        <x:v>90000</x:v>
      </x:c>
      <x:c r="G17" s="54" t="n">
        <x:f>'Исходные данные'!G54</x:f>
        <x:v>110000</x:v>
      </x:c>
      <x:c r="H17" s="54" t="n">
        <x:f>'Исходные данные'!H54</x:f>
        <x:v>130000</x:v>
      </x:c>
      <x:c r="I17" s="54" t="n">
        <x:f>'Исходные данные'!I54</x:f>
        <x:v>150000</x:v>
      </x:c>
      <x:c r="J17" s="54" t="n">
        <x:f>'Исходные данные'!J54</x:f>
        <x:v>170000</x:v>
      </x:c>
      <x:c r="K17" s="54" t="n">
        <x:f>'Исходные данные'!K54</x:f>
        <x:v>190000</x:v>
      </x:c>
      <x:c r="L17" s="54" t="n">
        <x:f>'Исходные данные'!L54</x:f>
        <x:v>210000</x:v>
      </x:c>
      <x:c r="M17" s="54" t="n">
        <x:f>'Исходные данные'!M54</x:f>
        <x:v>240000</x:v>
      </x:c>
    </x:row>
    <x:row r="18">
      <x:c r="A18" s="45" t="str">
        <x:v>Контент / комьюнити</x:v>
      </x:c>
      <x:c r="B18" s="54" t="n">
        <x:f>'Исходные данные'!B56</x:f>
        <x:v>10000</x:v>
      </x:c>
      <x:c r="C18" s="54" t="n">
        <x:f>'Исходные данные'!C56</x:f>
        <x:v>12000</x:v>
      </x:c>
      <x:c r="D18" s="54" t="n">
        <x:f>'Исходные данные'!D56</x:f>
        <x:v>15000</x:v>
      </x:c>
      <x:c r="E18" s="54" t="n">
        <x:f>'Исходные данные'!E56</x:f>
        <x:v>20000</x:v>
      </x:c>
      <x:c r="F18" s="54" t="n">
        <x:f>'Исходные данные'!F56</x:f>
        <x:v>25000</x:v>
      </x:c>
      <x:c r="G18" s="54" t="n">
        <x:f>'Исходные данные'!G56</x:f>
        <x:v>30000</x:v>
      </x:c>
      <x:c r="H18" s="54" t="n">
        <x:f>'Исходные данные'!H56</x:f>
        <x:v>35000</x:v>
      </x:c>
      <x:c r="I18" s="54" t="n">
        <x:f>'Исходные данные'!I56</x:f>
        <x:v>40000</x:v>
      </x:c>
      <x:c r="J18" s="54" t="n">
        <x:f>'Исходные данные'!J56</x:f>
        <x:v>45000</x:v>
      </x:c>
      <x:c r="K18" s="54" t="n">
        <x:f>'Исходные данные'!K56</x:f>
        <x:v>50000</x:v>
      </x:c>
      <x:c r="L18" s="54" t="n">
        <x:f>'Исходные данные'!L56</x:f>
        <x:v>55000</x:v>
      </x:c>
      <x:c r="M18" s="54" t="n">
        <x:f>'Исходные данные'!M56</x:f>
        <x:v>60000</x:v>
      </x:c>
    </x:row>
    <x:row r="19">
      <x:c r="A19" s="45" t="str">
        <x:v>Разработка / продукт</x:v>
      </x:c>
      <x:c r="B19" s="54" t="n">
        <x:f>'Исходные данные'!B55</x:f>
        <x:v>30000</x:v>
      </x:c>
      <x:c r="C19" s="54" t="n">
        <x:f>'Исходные данные'!C55</x:f>
        <x:v>35000</x:v>
      </x:c>
      <x:c r="D19" s="54" t="n">
        <x:f>'Исходные данные'!D55</x:f>
        <x:v>40000</x:v>
      </x:c>
      <x:c r="E19" s="54" t="n">
        <x:f>'Исходные данные'!E55</x:f>
        <x:v>45000</x:v>
      </x:c>
      <x:c r="F19" s="54" t="n">
        <x:f>'Исходные данные'!F55</x:f>
        <x:v>50000</x:v>
      </x:c>
      <x:c r="G19" s="54" t="n">
        <x:f>'Исходные данные'!G55</x:f>
        <x:v>55000</x:v>
      </x:c>
      <x:c r="H19" s="54" t="n">
        <x:f>'Исходные данные'!H55</x:f>
        <x:v>60000</x:v>
      </x:c>
      <x:c r="I19" s="54" t="n">
        <x:f>'Исходные данные'!I55</x:f>
        <x:v>65000</x:v>
      </x:c>
      <x:c r="J19" s="54" t="n">
        <x:f>'Исходные данные'!J55</x:f>
        <x:v>70000</x:v>
      </x:c>
      <x:c r="K19" s="54" t="n">
        <x:f>'Исходные данные'!K55</x:f>
        <x:v>70000</x:v>
      </x:c>
      <x:c r="L19" s="54" t="n">
        <x:f>'Исходные данные'!L55</x:f>
        <x:v>75000</x:v>
      </x:c>
      <x:c r="M19" s="54" t="n">
        <x:f>'Исходные данные'!M55</x:f>
        <x:v>80000</x:v>
      </x:c>
    </x:row>
    <x:row r="20">
      <x:c r="A20" s="45" t="str">
        <x:v>Админ / бухгалтерия / юридическое</x:v>
      </x:c>
      <x:c r="B20" s="54" t="n">
        <x:f>'Исходные данные'!B57</x:f>
        <x:v>5000</x:v>
      </x:c>
      <x:c r="C20" s="54" t="n">
        <x:f>'Исходные данные'!C57</x:f>
        <x:v>5000</x:v>
      </x:c>
      <x:c r="D20" s="54" t="n">
        <x:f>'Исходные данные'!D57</x:f>
        <x:v>5000</x:v>
      </x:c>
      <x:c r="E20" s="54" t="n">
        <x:f>'Исходные данные'!E57</x:f>
        <x:v>7000</x:v>
      </x:c>
      <x:c r="F20" s="54" t="n">
        <x:f>'Исходные данные'!F57</x:f>
        <x:v>7000</x:v>
      </x:c>
      <x:c r="G20" s="54" t="n">
        <x:f>'Исходные данные'!G57</x:f>
        <x:v>10000</x:v>
      </x:c>
      <x:c r="H20" s="54" t="n">
        <x:f>'Исходные данные'!H57</x:f>
        <x:v>10000</x:v>
      </x:c>
      <x:c r="I20" s="54" t="n">
        <x:f>'Исходные данные'!I57</x:f>
        <x:v>12000</x:v>
      </x:c>
      <x:c r="J20" s="54" t="n">
        <x:f>'Исходные данные'!J57</x:f>
        <x:v>12000</x:v>
      </x:c>
      <x:c r="K20" s="54" t="n">
        <x:f>'Исходные данные'!K57</x:f>
        <x:v>15000</x:v>
      </x:c>
      <x:c r="L20" s="54" t="n">
        <x:f>'Исходные данные'!L57</x:f>
        <x:v>15000</x:v>
      </x:c>
      <x:c r="M20" s="54" t="n">
        <x:f>'Исходные данные'!M57</x:f>
        <x:v>20000</x:v>
      </x:c>
    </x:row>
    <x:row r="21">
      <x:c r="A21" s="45" t="str">
        <x:v>Резерв платежей / возвратов</x:v>
      </x:c>
      <x:c r="B21" s="54" t="n">
        <x:f>'Доходы'!B17*'Исходные данные'!$B$25</x:f>
        <x:v>7.94407068</x:v>
      </x:c>
      <x:c r="C21" s="54" t="n">
        <x:f>'Доходы'!C17*'Исходные данные'!$B$25</x:f>
        <x:v>19.860176700000004</x:v>
      </x:c>
      <x:c r="D21" s="54" t="n">
        <x:f>'Доходы'!D17*'Исходные данные'!$B$25</x:f>
        <x:v>55.608494760000006</x:v>
      </x:c>
      <x:c r="E21" s="54" t="n">
        <x:f>'Доходы'!E17*'Исходные данные'!$B$25</x:f>
        <x:v>125.11911321000004</x:v>
      </x:c>
      <x:c r="F21" s="54" t="n">
        <x:f>'Доходы'!F17*'Исходные данные'!$B$25</x:f>
        <x:v>270.09840312000006</x:v>
      </x:c>
      <x:c r="G21" s="54" t="n">
        <x:f>'Доходы'!G17*'Исходные данные'!$B$25</x:f>
        <x:v>544.16884158</x:v>
      </x:c>
      <x:c r="H21" s="54" t="n">
        <x:f>'Доходы'!H17*'Исходные данные'!$B$25</x:f>
        <x:v>994.9948526700001</x:v>
      </x:c>
      <x:c r="I21" s="54" t="n">
        <x:f>'Доходы'!I17*'Исходные данные'!$B$25</x:f>
        <x:v>1741.7374965899999</x:v>
      </x:c>
      <x:c r="J21" s="54" t="n">
        <x:f>'Доходы'!J17*'Исходные данные'!$B$25</x:f>
        <x:v>2816.1730560600004</x:v>
      </x:c>
      <x:c r="K21" s="54" t="n">
        <x:f>'Доходы'!K17*'Исходные данные'!$B$25</x:f>
        <x:v>4385.12701536</x:v>
      </x:c>
      <x:c r="L21" s="54" t="n">
        <x:f>'Доходы'!L17*'Исходные данные'!$B$25</x:f>
        <x:v>6442.64132148</x:v>
      </x:c>
      <x:c r="M21" s="54" t="n">
        <x:f>'Доходы'!M17*'Исходные данные'!$B$25</x:f>
        <x:v>9012.54818646</x:v>
      </x:c>
    </x:row>
    <x:row r="22">
      <x:c r="A22" s="45" t="str">
        <x:v>Налог УСН estimate</x:v>
      </x:c>
      <x:c r="B22" s="54" t="n">
        <x:f>'Доходы'!B17*'Исходные данные'!$B$24</x:f>
        <x:v>23.832212039999998</x:v>
      </x:c>
      <x:c r="C22" s="54" t="n">
        <x:f>'Доходы'!C17*'Исходные данные'!$B$24</x:f>
        <x:v>59.580530100000004</x:v>
      </x:c>
      <x:c r="D22" s="54" t="n">
        <x:f>'Доходы'!D17*'Исходные данные'!$B$24</x:f>
        <x:v>166.82548428</x:v>
      </x:c>
      <x:c r="E22" s="54" t="n">
        <x:f>'Доходы'!E17*'Исходные данные'!$B$24</x:f>
        <x:v>375.35733963000007</x:v>
      </x:c>
      <x:c r="F22" s="54" t="n">
        <x:f>'Доходы'!F17*'Исходные данные'!$B$24</x:f>
        <x:v>810.2952093600001</x:v>
      </x:c>
      <x:c r="G22" s="54" t="n">
        <x:f>'Доходы'!G17*'Исходные данные'!$B$24</x:f>
        <x:v>1632.5065247400003</x:v>
      </x:c>
      <x:c r="H22" s="54" t="n">
        <x:f>'Доходы'!H17*'Исходные данные'!$B$24</x:f>
        <x:v>2984.98455801</x:v>
      </x:c>
      <x:c r="I22" s="54" t="n">
        <x:f>'Доходы'!I17*'Исходные данные'!$B$24</x:f>
        <x:v>5225.21248977</x:v>
      </x:c>
      <x:c r="J22" s="54" t="n">
        <x:f>'Доходы'!J17*'Исходные данные'!$B$24</x:f>
        <x:v>8448.51916818</x:v>
      </x:c>
      <x:c r="K22" s="54" t="n">
        <x:f>'Доходы'!K17*'Исходные данные'!$B$24</x:f>
        <x:v>13155.381046079998</x:v>
      </x:c>
      <x:c r="L22" s="54" t="n">
        <x:f>'Доходы'!L17*'Исходные данные'!$B$24</x:f>
        <x:v>19327.92396444</x:v>
      </x:c>
      <x:c r="M22" s="54" t="n">
        <x:f>'Доходы'!M17*'Исходные данные'!$B$24</x:f>
        <x:v>27037.644559379998</x:v>
      </x:c>
    </x:row>
    <x:row r="23">
      <x:c r="A23" s="45" t="str">
        <x:v>Переменные product costs</x:v>
      </x:c>
      <x:c r="B23" s="54" t="n">
        <x:f>B11+B15+B16+B21</x:f>
        <x:v>212.81098443000002</x:v>
      </x:c>
      <x:c r="C23" s="54" t="n">
        <x:f>C11+C15+C16+C21</x:f>
        <x:v>567.4814089000001</x:v>
      </x:c>
      <x:c r="D23" s="54" t="n">
        <x:f>D11+D15+D16+D21</x:f>
        <x:v>1429.9659322100001</x:v>
      </x:c>
      <x:c r="E23" s="54" t="n">
        <x:f>E11+E15+E16+E21</x:f>
        <x:v>2975.0897052850005</x:v>
      </x:c>
      <x:c r="F23" s="54" t="n">
        <x:f>F11+F15+F16+F21</x:f>
        <x:v>6082.786352770001</x:v>
      </x:c>
      <x:c r="G23" s="54" t="n">
        <x:f>G11+G15+G16+G21</x:f>
        <x:v>11735.26108473</x:v>
      </x:c>
      <x:c r="H23" s="54" t="n">
        <x:f>H11+H15+H16+H21</x:f>
        <x:v>20698.098739195</x:v>
      </x:c>
      <x:c r="I23" s="54" t="n">
        <x:f>I11+I15+I16+I21</x:f>
        <x:v>34876.12972371501</x:v>
      </x:c>
      <x:c r="J23" s="54" t="n">
        <x:f>J11+J15+J16+J21</x:f>
        <x:v>54413.28886356</x:v>
      </x:c>
      <x:c r="K23" s="54" t="n">
        <x:f>K11+K15+K16+K21</x:f>
        <x:v>81897.88657181001</x:v>
      </x:c>
      <x:c r="L23" s="54" t="n">
        <x:f>L11+L15+L16+L21</x:f>
        <x:v>116268.69418223001</x:v>
      </x:c>
      <x:c r="M23" s="54" t="n">
        <x:f>M11+M15+M16+M21</x:f>
        <x:v>157856.35452296003</x:v>
      </x:c>
    </x:row>
    <x:row r="24">
      <x:c r="A24" s="45" t="str">
        <x:v>Постоянные OPEX</x:v>
      </x:c>
      <x:c r="B24" s="54" t="n">
        <x:f>B12+B13+B14+B17+B18+B19+B20</x:f>
        <x:v>68950</x:v>
      </x:c>
      <x:c r="C24" s="54" t="n">
        <x:f>C12+C13+C14+C17+C18+C19+C20</x:f>
        <x:v>91090</x:v>
      </x:c>
      <x:c r="D24" s="54" t="n">
        <x:f>D12+D13+D14+D17+D18+D19+D20</x:f>
        <x:v>114300</x:v>
      </x:c>
      <x:c r="E24" s="54" t="n">
        <x:f>E12+E13+E14+E17+E18+E19+E20</x:f>
        <x:v>148150</x:v>
      </x:c>
      <x:c r="F24" s="54" t="n">
        <x:f>F12+F13+F14+F17+F18+F19+F20</x:f>
        <x:v>178500</x:v>
      </x:c>
      <x:c r="G24" s="54" t="n">
        <x:f>G12+G13+G14+G17+G18+G19+G20</x:f>
        <x:v>213350</x:v>
      </x:c>
      <x:c r="H24" s="54" t="n">
        <x:f>H12+H13+H14+H17+H18+H19+H20</x:f>
        <x:v>245550</x:v>
      </x:c>
      <x:c r="I24" s="54" t="n">
        <x:f>I12+I13+I14+I17+I18+I19+I20</x:f>
        <x:v>279750</x:v>
      </x:c>
      <x:c r="J24" s="54" t="n">
        <x:f>J12+J13+J14+J17+J18+J19+J20</x:f>
        <x:v>311950</x:v>
      </x:c>
      <x:c r="K24" s="54" t="n">
        <x:f>K12+K13+K14+K17+K18+K19+K20</x:f>
        <x:v>342150</x:v>
      </x:c>
      <x:c r="L24" s="54" t="n">
        <x:f>L12+L13+L14+L17+L18+L19+L20</x:f>
        <x:v>374350</x:v>
      </x:c>
      <x:c r="M24" s="54" t="n">
        <x:f>M12+M13+M14+M17+M18+M19+M20</x:f>
        <x:v>422250</x:v>
      </x:c>
    </x:row>
    <x:row r="25">
      <x:c r="A25" s="45" t="str">
        <x:v>Total Expenses</x:v>
      </x:c>
      <x:c r="B25" s="54" t="n">
        <x:f>SUM(B11:B22)</x:f>
        <x:v>69186.64319646999</x:v>
      </x:c>
      <x:c r="C25" s="54" t="n">
        <x:f>SUM(C11:C22)</x:f>
        <x:v>91717.06193899999</x:v>
      </x:c>
      <x:c r="D25" s="54" t="n">
        <x:f>SUM(D11:D22)</x:f>
        <x:v>115896.79141649</x:v>
      </x:c>
      <x:c r="E25" s="54" t="n">
        <x:f>SUM(E11:E22)</x:f>
        <x:v>151500.447044915</x:v>
      </x:c>
      <x:c r="F25" s="54" t="n">
        <x:f>SUM(F11:F22)</x:f>
        <x:v>185393.08156212998</x:v>
      </x:c>
      <x:c r="G25" s="54" t="n">
        <x:f>SUM(G11:G22)</x:f>
        <x:v>226717.76760946997</x:v>
      </x:c>
      <x:c r="H25" s="54" t="n">
        <x:f>SUM(H11:H22)</x:f>
        <x:v>269233.08329720504</x:v>
      </x:c>
      <x:c r="I25" s="54" t="n">
        <x:f>SUM(I11:I22)</x:f>
        <x:v>319851.34221348504</x:v>
      </x:c>
      <x:c r="J25" s="54" t="n">
        <x:f>SUM(J11:J22)</x:f>
        <x:v>374811.80803173996</x:v>
      </x:c>
      <x:c r="K25" s="54" t="n">
        <x:f>SUM(K11:K22)</x:f>
        <x:v>437203.26761789</x:v>
      </x:c>
      <x:c r="L25" s="54" t="n">
        <x:f>SUM(L11:L22)</x:f>
        <x:v>509946.61814667</x:v>
      </x:c>
      <x:c r="M25" s="54" t="n">
        <x:f>SUM(M11:M22)</x:f>
        <x:v>607143.99908234</x:v>
      </x:c>
    </x:row>
    <x:row r="26">
      <x:c r="A26" s="42"/>
      <x:c r="B26" s="42"/>
      <x:c r="C26" s="42"/>
      <x:c r="D26" s="42"/>
      <x:c r="E26" s="42"/>
      <x:c r="F26" s="42"/>
      <x:c r="G26" s="42"/>
      <x:c r="H26" s="42"/>
      <x:c r="I26" s="42"/>
      <x:c r="J26" s="42"/>
      <x:c r="K26" s="42"/>
      <x:c r="L26" s="42"/>
      <x:c r="M26" s="42"/>
    </x:row>
    <x:row r="27">
      <x:c r="A27" s="42"/>
      <x:c r="B27" s="42"/>
      <x:c r="C27" s="42"/>
      <x:c r="D27" s="42"/>
      <x:c r="E27" s="42"/>
      <x:c r="F27" s="42"/>
      <x:c r="G27" s="42"/>
      <x:c r="H27" s="42"/>
      <x:c r="I27" s="42"/>
      <x:c r="J27" s="42"/>
      <x:c r="K27" s="42"/>
      <x:c r="L27" s="42"/>
      <x:c r="M27" s="42"/>
    </x:row>
    <x:row r="28">
      <x:c r="A28" s="42"/>
      <x:c r="B28" s="42"/>
      <x:c r="C28" s="42"/>
      <x:c r="D28" s="42"/>
      <x:c r="E28" s="42"/>
      <x:c r="F28" s="42"/>
      <x:c r="G28" s="42"/>
      <x:c r="H28" s="42"/>
      <x:c r="I28" s="42"/>
      <x:c r="J28" s="42"/>
      <x:c r="K28" s="42"/>
      <x:c r="L28" s="42"/>
      <x:c r="M28" s="42"/>
    </x:row>
    <x:row r="29">
      <x:c r="A29" s="42"/>
      <x:c r="B29" s="42"/>
      <x:c r="C29" s="42"/>
      <x:c r="D29" s="42"/>
      <x:c r="E29" s="42"/>
      <x:c r="F29" s="42"/>
      <x:c r="G29" s="42"/>
      <x:c r="H29" s="42"/>
      <x:c r="I29" s="42"/>
      <x:c r="J29" s="42"/>
      <x:c r="K29" s="42"/>
      <x:c r="L29" s="42"/>
      <x:c r="M29" s="42"/>
    </x:row>
    <x:row r="30">
      <x:c r="A30" s="42"/>
      <x:c r="B30" s="42"/>
      <x:c r="C30" s="42"/>
      <x:c r="D30" s="42"/>
      <x:c r="E30" s="42"/>
      <x:c r="F30" s="42"/>
      <x:c r="G30" s="42"/>
      <x:c r="H30" s="42"/>
      <x:c r="I30" s="42"/>
      <x:c r="J30" s="42"/>
      <x:c r="K30" s="42"/>
      <x:c r="L30" s="42"/>
      <x:c r="M30" s="42"/>
    </x:row>
    <x:row r="31">
      <x:c r="A31" s="42"/>
      <x:c r="B31" s="42"/>
      <x:c r="C31" s="42"/>
      <x:c r="D31" s="42"/>
      <x:c r="E31" s="42"/>
      <x:c r="F31" s="42"/>
      <x:c r="G31" s="42"/>
      <x:c r="H31" s="42"/>
      <x:c r="I31" s="42"/>
      <x:c r="J31" s="42"/>
      <x:c r="K31" s="42"/>
      <x:c r="L31" s="42"/>
      <x:c r="M31" s="42"/>
    </x:row>
    <x:row r="32">
      <x:c r="A32" s="42"/>
      <x:c r="B32" s="42"/>
      <x:c r="C32" s="42"/>
      <x:c r="D32" s="42"/>
      <x:c r="E32" s="42"/>
      <x:c r="F32" s="42"/>
      <x:c r="G32" s="42"/>
      <x:c r="H32" s="42"/>
      <x:c r="I32" s="42"/>
      <x:c r="J32" s="42"/>
      <x:c r="K32" s="42"/>
      <x:c r="L32" s="42"/>
      <x:c r="M32" s="42"/>
    </x:row>
    <x:row r="33">
      <x:c r="A33" s="42"/>
      <x:c r="B33" s="42"/>
      <x:c r="C33" s="42"/>
      <x:c r="D33" s="42"/>
      <x:c r="E33" s="42"/>
      <x:c r="F33" s="42"/>
      <x:c r="G33" s="42"/>
      <x:c r="H33" s="42"/>
      <x:c r="I33" s="42"/>
      <x:c r="J33" s="42"/>
      <x:c r="K33" s="42"/>
      <x:c r="L33" s="42"/>
      <x:c r="M33" s="42"/>
    </x:row>
    <x:row r="34">
      <x:c r="A34" s="42"/>
      <x:c r="B34" s="42"/>
      <x:c r="C34" s="42"/>
      <x:c r="D34" s="42"/>
      <x:c r="E34" s="42"/>
      <x:c r="F34" s="42"/>
      <x:c r="G34" s="42"/>
      <x:c r="H34" s="42"/>
      <x:c r="I34" s="42"/>
      <x:c r="J34" s="42"/>
      <x:c r="K34" s="42"/>
      <x:c r="L34" s="42"/>
      <x:c r="M34" s="42"/>
    </x:row>
    <x:row r="35">
      <x:c r="A35" s="42"/>
      <x:c r="B35" s="42"/>
      <x:c r="C35" s="42"/>
      <x:c r="D35" s="42"/>
      <x:c r="E35" s="42"/>
      <x:c r="F35" s="42"/>
      <x:c r="G35" s="42"/>
      <x:c r="H35" s="42"/>
      <x:c r="I35" s="42"/>
      <x:c r="J35" s="42"/>
      <x:c r="K35" s="42"/>
      <x:c r="L35" s="42"/>
      <x:c r="M35" s="42"/>
    </x:row>
    <x:row r="36">
      <x:c r="A36" s="42"/>
      <x:c r="B36" s="42"/>
      <x:c r="C36" s="42"/>
      <x:c r="D36" s="42"/>
      <x:c r="E36" s="42"/>
      <x:c r="F36" s="42"/>
      <x:c r="G36" s="42"/>
      <x:c r="H36" s="42"/>
      <x:c r="I36" s="42"/>
      <x:c r="J36" s="42"/>
      <x:c r="K36" s="42"/>
      <x:c r="L36" s="42"/>
      <x:c r="M36" s="42"/>
    </x:row>
    <x:row r="37">
      <x:c r="A37" s="42"/>
      <x:c r="B37" s="42"/>
      <x:c r="C37" s="42"/>
      <x:c r="D37" s="42"/>
      <x:c r="E37" s="42"/>
      <x:c r="F37" s="42"/>
      <x:c r="G37" s="42"/>
      <x:c r="H37" s="42"/>
      <x:c r="I37" s="42"/>
      <x:c r="J37" s="42"/>
      <x:c r="K37" s="42"/>
      <x:c r="L37" s="42"/>
      <x:c r="M37" s="42"/>
    </x:row>
    <x:row r="38">
      <x:c r="A38" s="42"/>
      <x:c r="B38" s="42"/>
      <x:c r="C38" s="42"/>
      <x:c r="D38" s="42"/>
      <x:c r="E38" s="42"/>
      <x:c r="F38" s="42"/>
      <x:c r="G38" s="42"/>
      <x:c r="H38" s="42"/>
      <x:c r="I38" s="42"/>
      <x:c r="J38" s="42"/>
      <x:c r="K38" s="42"/>
      <x:c r="L38" s="42"/>
      <x:c r="M38" s="42"/>
    </x:row>
    <x:row r="39">
      <x:c r="A39" s="42"/>
      <x:c r="B39" s="42"/>
      <x:c r="C39" s="42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</x:row>
    <x:row r="40">
      <x:c r="A40" s="42"/>
      <x:c r="B40" s="42"/>
      <x:c r="C40" s="42"/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</x:row>
    <x:row r="41">
      <x:c r="A41" s="42"/>
      <x:c r="B41" s="42"/>
      <x:c r="C41" s="42"/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</x:row>
    <x:row r="42">
      <x:c r="A42" s="42"/>
      <x:c r="B42" s="42"/>
      <x:c r="C42" s="42"/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</x:row>
    <x:row r="43">
      <x:c r="A43" s="42"/>
      <x:c r="B43" s="42"/>
      <x:c r="C43" s="42"/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</x:row>
    <x:row r="44">
      <x:c r="A44" s="42"/>
      <x:c r="B44" s="42"/>
      <x:c r="C44" s="42"/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</x:row>
    <x:row r="45">
      <x:c r="A45" s="42"/>
      <x:c r="B45" s="42"/>
      <x:c r="C45" s="42"/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</x:row>
    <x:row r="46">
      <x:c r="A46" s="42"/>
      <x:c r="B46" s="42"/>
      <x:c r="C46" s="42"/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</x:row>
    <x:row r="47">
      <x:c r="A47" s="42"/>
      <x:c r="B47" s="42"/>
      <x:c r="C47" s="42"/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</x:row>
    <x:row r="48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</x:row>
    <x:row r="49">
      <x:c r="A49" s="42"/>
      <x:c r="B49" s="42"/>
      <x:c r="C49" s="42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</x:row>
    <x:row r="50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</x:row>
    <x:row r="51">
      <x:c r="A51" s="42"/>
      <x:c r="B51" s="42"/>
      <x:c r="C51" s="42"/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</x:row>
    <x:row r="52">
      <x:c r="A52" s="42"/>
      <x:c r="B52" s="42"/>
      <x:c r="C52" s="42"/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</x:row>
    <x:row r="53">
      <x:c r="A53" s="42"/>
      <x:c r="B53" s="42"/>
      <x:c r="C53" s="42"/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</x:row>
    <x:row r="54">
      <x:c r="A54" s="42"/>
      <x:c r="B54" s="42"/>
      <x:c r="C54" s="42"/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</x:row>
    <x:row r="55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</x:row>
    <x:row r="56">
      <x:c r="A56" s="42"/>
      <x:c r="B56" s="42"/>
      <x:c r="C56" s="42"/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</x:row>
    <x:row r="57">
      <x:c r="A57" s="42"/>
      <x:c r="B57" s="42"/>
      <x:c r="C57" s="42"/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</x:row>
    <x:row r="58">
      <x:c r="A58" s="42"/>
      <x:c r="B58" s="42"/>
      <x:c r="C58" s="42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</x:row>
    <x:row r="59">
      <x:c r="A59" s="42"/>
      <x:c r="B59" s="42"/>
      <x:c r="C59" s="42"/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</x:row>
    <x:row r="60">
      <x:c r="A60" s="42"/>
      <x:c r="B60" s="42"/>
      <x:c r="C60" s="42"/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</x:row>
    <x:row r="61">
      <x:c r="A61" s="42"/>
      <x:c r="B61" s="42"/>
      <x:c r="C61" s="42"/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</x:row>
    <x:row r="62">
      <x:c r="A62" s="42"/>
      <x:c r="B62" s="42"/>
      <x:c r="C62" s="42"/>
      <x:c r="D62" s="42"/>
      <x:c r="E62" s="42"/>
      <x:c r="F62" s="42"/>
      <x:c r="G62" s="42"/>
      <x:c r="H62" s="42"/>
      <x:c r="I62" s="42"/>
      <x:c r="J62" s="42"/>
      <x:c r="K62" s="42"/>
      <x:c r="L62" s="42"/>
      <x:c r="M62" s="42"/>
    </x:row>
    <x:row r="63">
      <x:c r="A63" s="42"/>
      <x:c r="B63" s="42"/>
      <x:c r="C63" s="42"/>
      <x:c r="D63" s="42"/>
      <x:c r="E63" s="42"/>
      <x:c r="F63" s="42"/>
      <x:c r="G63" s="42"/>
      <x:c r="H63" s="42"/>
      <x:c r="I63" s="42"/>
      <x:c r="J63" s="42"/>
      <x:c r="K63" s="42"/>
      <x:c r="L63" s="42"/>
      <x:c r="M63" s="42"/>
    </x:row>
    <x:row r="64">
      <x:c r="A64" s="42"/>
      <x:c r="B64" s="42"/>
      <x:c r="C64" s="42"/>
      <x:c r="D64" s="42"/>
      <x:c r="E64" s="42"/>
      <x:c r="F64" s="42"/>
      <x:c r="G64" s="42"/>
      <x:c r="H64" s="42"/>
      <x:c r="I64" s="42"/>
      <x:c r="J64" s="42"/>
      <x:c r="K64" s="42"/>
      <x:c r="L64" s="42"/>
      <x:c r="M64" s="42"/>
    </x:row>
    <x:row r="65">
      <x:c r="A65" s="42"/>
      <x:c r="B65" s="42"/>
      <x:c r="C65" s="42"/>
      <x:c r="D65" s="42"/>
      <x:c r="E65" s="42"/>
      <x:c r="F65" s="42"/>
      <x:c r="G65" s="42"/>
      <x:c r="H65" s="42"/>
      <x:c r="I65" s="42"/>
      <x:c r="J65" s="42"/>
      <x:c r="K65" s="42"/>
      <x:c r="L65" s="42"/>
      <x:c r="M65" s="42"/>
    </x:row>
    <x:row r="66">
      <x:c r="A66" s="42"/>
      <x:c r="B66" s="42"/>
      <x:c r="C66" s="42"/>
      <x:c r="D66" s="42"/>
      <x:c r="E66" s="42"/>
      <x:c r="F66" s="42"/>
      <x:c r="G66" s="42"/>
      <x:c r="H66" s="42"/>
      <x:c r="I66" s="42"/>
      <x:c r="J66" s="42"/>
      <x:c r="K66" s="42"/>
      <x:c r="L66" s="42"/>
      <x:c r="M66" s="42"/>
    </x:row>
    <x:row r="67">
      <x:c r="A67" s="42"/>
      <x:c r="B67" s="42"/>
      <x:c r="C67" s="42"/>
      <x:c r="D67" s="42"/>
      <x:c r="E67" s="42"/>
      <x:c r="F67" s="42"/>
      <x:c r="G67" s="42"/>
      <x:c r="H67" s="42"/>
      <x:c r="I67" s="42"/>
      <x:c r="J67" s="42"/>
      <x:c r="K67" s="42"/>
      <x:c r="L67" s="42"/>
      <x:c r="M67" s="42"/>
    </x:row>
    <x:row r="68">
      <x:c r="A68" s="42"/>
      <x:c r="B68" s="42"/>
      <x:c r="C68" s="42"/>
      <x:c r="D68" s="42"/>
      <x:c r="E68" s="42"/>
      <x:c r="F68" s="42"/>
      <x:c r="G68" s="42"/>
      <x:c r="H68" s="42"/>
      <x:c r="I68" s="42"/>
      <x:c r="J68" s="42"/>
      <x:c r="K68" s="42"/>
      <x:c r="L68" s="42"/>
      <x:c r="M68" s="42"/>
    </x:row>
    <x:row r="69">
      <x:c r="A69" s="42"/>
      <x:c r="B69" s="42"/>
      <x:c r="C69" s="42"/>
      <x:c r="D69" s="42"/>
      <x:c r="E69" s="42"/>
      <x:c r="F69" s="42"/>
      <x:c r="G69" s="42"/>
      <x:c r="H69" s="42"/>
      <x:c r="I69" s="42"/>
      <x:c r="J69" s="42"/>
      <x:c r="K69" s="42"/>
      <x:c r="L69" s="42"/>
      <x:c r="M69" s="42"/>
    </x:row>
    <x:row r="70">
      <x:c r="A70" s="42"/>
      <x:c r="B70" s="42"/>
      <x:c r="C70" s="42"/>
      <x:c r="D70" s="42"/>
      <x:c r="E70" s="42"/>
      <x:c r="F70" s="42"/>
      <x:c r="G70" s="42"/>
      <x:c r="H70" s="42"/>
      <x:c r="I70" s="42"/>
      <x:c r="J70" s="42"/>
      <x:c r="K70" s="42"/>
      <x:c r="L70" s="42"/>
      <x:c r="M70" s="42"/>
    </x:row>
    <x:row r="71">
      <x:c r="A71" s="42"/>
      <x:c r="B71" s="42"/>
      <x:c r="C71" s="42"/>
      <x:c r="D71" s="42"/>
      <x:c r="E71" s="42"/>
      <x:c r="F71" s="42"/>
      <x:c r="G71" s="42"/>
      <x:c r="H71" s="42"/>
      <x:c r="I71" s="42"/>
      <x:c r="J71" s="42"/>
      <x:c r="K71" s="42"/>
      <x:c r="L71" s="42"/>
      <x:c r="M71" s="42"/>
    </x:row>
    <x:row r="72">
      <x:c r="A72" s="42"/>
      <x:c r="B72" s="42"/>
      <x:c r="C72" s="42"/>
      <x:c r="D72" s="42"/>
      <x:c r="E72" s="42"/>
      <x:c r="F72" s="42"/>
      <x:c r="G72" s="42"/>
      <x:c r="H72" s="42"/>
      <x:c r="I72" s="42"/>
      <x:c r="J72" s="42"/>
      <x:c r="K72" s="42"/>
      <x:c r="L72" s="42"/>
      <x:c r="M72" s="42"/>
    </x:row>
    <x:row r="73">
      <x:c r="A73" s="42"/>
      <x:c r="B73" s="42"/>
      <x:c r="C73" s="42"/>
      <x:c r="D73" s="42"/>
      <x:c r="E73" s="42"/>
      <x:c r="F73" s="42"/>
      <x:c r="G73" s="42"/>
      <x:c r="H73" s="42"/>
      <x:c r="I73" s="42"/>
      <x:c r="J73" s="42"/>
      <x:c r="K73" s="42"/>
      <x:c r="L73" s="42"/>
      <x:c r="M73" s="42"/>
    </x:row>
    <x:row r="74">
      <x:c r="A74" s="42"/>
      <x:c r="B74" s="42"/>
      <x:c r="C74" s="42"/>
      <x:c r="D74" s="42"/>
      <x:c r="E74" s="42"/>
      <x:c r="F74" s="42"/>
      <x:c r="G74" s="42"/>
      <x:c r="H74" s="42"/>
      <x:c r="I74" s="42"/>
      <x:c r="J74" s="42"/>
      <x:c r="K74" s="42"/>
      <x:c r="L74" s="42"/>
      <x:c r="M74" s="42"/>
    </x:row>
    <x:row r="75">
      <x:c r="A75" s="42"/>
      <x:c r="B75" s="42"/>
      <x:c r="C75" s="42"/>
      <x:c r="D75" s="42"/>
      <x:c r="E75" s="42"/>
      <x:c r="F75" s="42"/>
      <x:c r="G75" s="42"/>
      <x:c r="H75" s="42"/>
      <x:c r="I75" s="42"/>
      <x:c r="J75" s="42"/>
      <x:c r="K75" s="42"/>
      <x:c r="L75" s="42"/>
      <x:c r="M75" s="42"/>
    </x:row>
    <x:row r="76">
      <x:c r="A76" s="42"/>
      <x:c r="B76" s="42"/>
      <x:c r="C76" s="42"/>
      <x:c r="D76" s="42"/>
      <x:c r="E76" s="42"/>
      <x:c r="F76" s="42"/>
      <x:c r="G76" s="42"/>
      <x:c r="H76" s="42"/>
      <x:c r="I76" s="42"/>
      <x:c r="J76" s="42"/>
      <x:c r="K76" s="42"/>
      <x:c r="L76" s="42"/>
      <x:c r="M76" s="42"/>
    </x:row>
    <x:row r="77">
      <x:c r="A77" s="42"/>
      <x:c r="B77" s="42"/>
      <x:c r="C77" s="42"/>
      <x:c r="D77" s="42"/>
      <x:c r="E77" s="42"/>
      <x:c r="F77" s="42"/>
      <x:c r="G77" s="42"/>
      <x:c r="H77" s="42"/>
      <x:c r="I77" s="42"/>
      <x:c r="J77" s="42"/>
      <x:c r="K77" s="42"/>
      <x:c r="L77" s="42"/>
      <x:c r="M77" s="42"/>
    </x:row>
    <x:row r="78">
      <x:c r="A78" s="42"/>
      <x:c r="B78" s="42"/>
      <x:c r="C78" s="42"/>
      <x:c r="D78" s="42"/>
      <x:c r="E78" s="42"/>
      <x:c r="F78" s="42"/>
      <x:c r="G78" s="42"/>
      <x:c r="H78" s="42"/>
      <x:c r="I78" s="42"/>
      <x:c r="J78" s="42"/>
      <x:c r="K78" s="42"/>
      <x:c r="L78" s="42"/>
      <x:c r="M78" s="42"/>
    </x:row>
    <x:row r="79">
      <x:c r="A79" s="42"/>
      <x:c r="B79" s="42"/>
      <x:c r="C79" s="42"/>
      <x:c r="D79" s="42"/>
      <x:c r="E79" s="42"/>
      <x:c r="F79" s="42"/>
      <x:c r="G79" s="42"/>
      <x:c r="H79" s="42"/>
      <x:c r="I79" s="42"/>
      <x:c r="J79" s="42"/>
      <x:c r="K79" s="42"/>
      <x:c r="L79" s="42"/>
      <x:c r="M79" s="42"/>
    </x:row>
    <x:row r="80">
      <x:c r="A80" s="42"/>
      <x:c r="B80" s="42"/>
      <x:c r="C80" s="42"/>
      <x:c r="D80" s="42"/>
      <x:c r="E80" s="42"/>
      <x:c r="F80" s="42"/>
      <x:c r="G80" s="42"/>
      <x:c r="H80" s="42"/>
      <x:c r="I80" s="42"/>
      <x:c r="J80" s="42"/>
      <x:c r="K80" s="42"/>
      <x:c r="L80" s="42"/>
      <x:c r="M80" s="42"/>
    </x:row>
    <x:row r="81">
      <x:c r="A81" s="42"/>
      <x:c r="B81" s="42"/>
      <x:c r="C81" s="42"/>
      <x:c r="D81" s="42"/>
      <x:c r="E81" s="42"/>
      <x:c r="F81" s="42"/>
      <x:c r="G81" s="42"/>
      <x:c r="H81" s="42"/>
      <x:c r="I81" s="42"/>
      <x:c r="J81" s="42"/>
      <x:c r="K81" s="42"/>
      <x:c r="L81" s="42"/>
      <x:c r="M81" s="42"/>
    </x:row>
    <x:row r="82">
      <x:c r="A82" s="42"/>
      <x:c r="B82" s="42"/>
      <x:c r="C82" s="42"/>
      <x:c r="D82" s="42"/>
      <x:c r="E82" s="42"/>
      <x:c r="F82" s="42"/>
      <x:c r="G82" s="42"/>
      <x:c r="H82" s="42"/>
      <x:c r="I82" s="42"/>
      <x:c r="J82" s="42"/>
      <x:c r="K82" s="42"/>
      <x:c r="L82" s="42"/>
      <x:c r="M82" s="42"/>
    </x:row>
    <x:row r="83">
      <x:c r="A83" s="42"/>
      <x:c r="B83" s="42"/>
      <x:c r="C83" s="42"/>
      <x:c r="D83" s="42"/>
      <x:c r="E83" s="42"/>
      <x:c r="F83" s="42"/>
      <x:c r="G83" s="42"/>
      <x:c r="H83" s="42"/>
      <x:c r="I83" s="42"/>
      <x:c r="J83" s="42"/>
      <x:c r="K83" s="42"/>
      <x:c r="L83" s="42"/>
      <x:c r="M83" s="42"/>
    </x:row>
    <x:row r="84">
      <x:c r="A84" s="42"/>
      <x:c r="B84" s="42"/>
      <x:c r="C84" s="42"/>
      <x:c r="D84" s="42"/>
      <x:c r="E84" s="42"/>
      <x:c r="F84" s="42"/>
      <x:c r="G84" s="42"/>
      <x:c r="H84" s="42"/>
      <x:c r="I84" s="42"/>
      <x:c r="J84" s="42"/>
      <x:c r="K84" s="42"/>
      <x:c r="L84" s="42"/>
      <x:c r="M84" s="42"/>
    </x:row>
    <x:row r="85">
      <x:c r="A85" s="42"/>
      <x:c r="B85" s="42"/>
      <x:c r="C85" s="42"/>
      <x:c r="D85" s="42"/>
      <x:c r="E85" s="42"/>
      <x:c r="F85" s="42"/>
      <x:c r="G85" s="42"/>
      <x:c r="H85" s="42"/>
      <x:c r="I85" s="42"/>
      <x:c r="J85" s="42"/>
      <x:c r="K85" s="42"/>
      <x:c r="L85" s="42"/>
      <x:c r="M85" s="42"/>
    </x:row>
    <x:row r="86">
      <x:c r="A86" s="42"/>
      <x:c r="B86" s="42"/>
      <x:c r="C86" s="42"/>
      <x:c r="D86" s="42"/>
      <x:c r="E86" s="42"/>
      <x:c r="F86" s="42"/>
      <x:c r="G86" s="42"/>
      <x:c r="H86" s="42"/>
      <x:c r="I86" s="42"/>
      <x:c r="J86" s="42"/>
      <x:c r="K86" s="42"/>
      <x:c r="L86" s="42"/>
      <x:c r="M86" s="42"/>
    </x:row>
    <x:row r="87">
      <x:c r="A87" s="42"/>
      <x:c r="B87" s="42"/>
      <x:c r="C87" s="42"/>
      <x:c r="D87" s="42"/>
      <x:c r="E87" s="42"/>
      <x:c r="F87" s="42"/>
      <x:c r="G87" s="42"/>
      <x:c r="H87" s="42"/>
      <x:c r="I87" s="42"/>
      <x:c r="J87" s="42"/>
      <x:c r="K87" s="42"/>
      <x:c r="L87" s="42"/>
      <x:c r="M87" s="42"/>
    </x:row>
    <x:row r="88">
      <x:c r="A88" s="42"/>
      <x:c r="B88" s="42"/>
      <x:c r="C88" s="42"/>
      <x:c r="D88" s="42"/>
      <x:c r="E88" s="42"/>
      <x:c r="F88" s="42"/>
      <x:c r="G88" s="42"/>
      <x:c r="H88" s="42"/>
      <x:c r="I88" s="42"/>
      <x:c r="J88" s="42"/>
      <x:c r="K88" s="42"/>
      <x:c r="L88" s="42"/>
      <x:c r="M88" s="42"/>
    </x:row>
    <x:row r="89">
      <x:c r="A89" s="42"/>
      <x:c r="B89" s="42"/>
      <x:c r="C89" s="42"/>
      <x:c r="D89" s="42"/>
      <x:c r="E89" s="42"/>
      <x:c r="F89" s="42"/>
      <x:c r="G89" s="42"/>
      <x:c r="H89" s="42"/>
      <x:c r="I89" s="42"/>
      <x:c r="J89" s="42"/>
      <x:c r="K89" s="42"/>
      <x:c r="L89" s="42"/>
      <x:c r="M89" s="42"/>
    </x:row>
    <x:row r="90">
      <x:c r="A90" s="42"/>
      <x:c r="B90" s="42"/>
      <x:c r="C90" s="42"/>
      <x:c r="D90" s="42"/>
      <x:c r="E90" s="42"/>
      <x:c r="F90" s="42"/>
      <x:c r="G90" s="42"/>
      <x:c r="H90" s="42"/>
      <x:c r="I90" s="42"/>
      <x:c r="J90" s="42"/>
      <x:c r="K90" s="42"/>
      <x:c r="L90" s="42"/>
      <x:c r="M90" s="42"/>
    </x:row>
    <x:row r="91">
      <x:c r="A91" s="42"/>
      <x:c r="B91" s="42"/>
      <x:c r="C91" s="42"/>
      <x:c r="D91" s="42"/>
      <x:c r="E91" s="42"/>
      <x:c r="F91" s="42"/>
      <x:c r="G91" s="42"/>
      <x:c r="H91" s="42"/>
      <x:c r="I91" s="42"/>
      <x:c r="J91" s="42"/>
      <x:c r="K91" s="42"/>
      <x:c r="L91" s="42"/>
      <x:c r="M91" s="42"/>
    </x:row>
    <x:row r="92">
      <x:c r="A92" s="42"/>
      <x:c r="B92" s="42"/>
      <x:c r="C92" s="42"/>
      <x:c r="D92" s="42"/>
      <x:c r="E92" s="42"/>
      <x:c r="F92" s="42"/>
      <x:c r="G92" s="42"/>
      <x:c r="H92" s="42"/>
      <x:c r="I92" s="42"/>
      <x:c r="J92" s="42"/>
      <x:c r="K92" s="42"/>
      <x:c r="L92" s="42"/>
      <x:c r="M92" s="42"/>
    </x:row>
    <x:row r="93">
      <x:c r="A93" s="42"/>
      <x:c r="B93" s="42"/>
      <x:c r="C93" s="42"/>
      <x:c r="D93" s="42"/>
      <x:c r="E93" s="42"/>
      <x:c r="F93" s="42"/>
      <x:c r="G93" s="42"/>
      <x:c r="H93" s="42"/>
      <x:c r="I93" s="42"/>
      <x:c r="J93" s="42"/>
      <x:c r="K93" s="42"/>
      <x:c r="L93" s="42"/>
      <x:c r="M93" s="42"/>
    </x:row>
    <x:row r="94">
      <x:c r="A94" s="42"/>
      <x:c r="B94" s="42"/>
      <x:c r="C94" s="42"/>
      <x:c r="D94" s="42"/>
      <x:c r="E94" s="42"/>
      <x:c r="F94" s="42"/>
      <x:c r="G94" s="42"/>
      <x:c r="H94" s="42"/>
      <x:c r="I94" s="42"/>
      <x:c r="J94" s="42"/>
      <x:c r="K94" s="42"/>
      <x:c r="L94" s="42"/>
      <x:c r="M94" s="42"/>
    </x:row>
    <x:row r="95">
      <x:c r="A95" s="42"/>
      <x:c r="B95" s="42"/>
      <x:c r="C95" s="42"/>
      <x:c r="D95" s="42"/>
      <x:c r="E95" s="42"/>
      <x:c r="F95" s="42"/>
      <x:c r="G95" s="42"/>
      <x:c r="H95" s="42"/>
      <x:c r="I95" s="42"/>
      <x:c r="J95" s="42"/>
      <x:c r="K95" s="42"/>
      <x:c r="L95" s="42"/>
      <x:c r="M95" s="42"/>
    </x:row>
    <x:row r="96">
      <x:c r="A96" s="42"/>
      <x:c r="B96" s="42"/>
      <x:c r="C96" s="42"/>
      <x:c r="D96" s="42"/>
      <x:c r="E96" s="42"/>
      <x:c r="F96" s="42"/>
      <x:c r="G96" s="42"/>
      <x:c r="H96" s="42"/>
      <x:c r="I96" s="42"/>
      <x:c r="J96" s="42"/>
      <x:c r="K96" s="42"/>
      <x:c r="L96" s="42"/>
      <x:c r="M96" s="42"/>
    </x:row>
    <x:row r="97">
      <x:c r="A97" s="42"/>
      <x:c r="B97" s="42"/>
      <x:c r="C97" s="42"/>
      <x:c r="D97" s="42"/>
      <x:c r="E97" s="42"/>
      <x:c r="F97" s="42"/>
      <x:c r="G97" s="42"/>
      <x:c r="H97" s="42"/>
      <x:c r="I97" s="42"/>
      <x:c r="J97" s="42"/>
      <x:c r="K97" s="42"/>
      <x:c r="L97" s="42"/>
      <x:c r="M97" s="42"/>
    </x:row>
    <x:row r="98">
      <x:c r="A98" s="42"/>
      <x:c r="B98" s="42"/>
      <x:c r="C98" s="42"/>
      <x:c r="D98" s="42"/>
      <x:c r="E98" s="42"/>
      <x:c r="F98" s="42"/>
      <x:c r="G98" s="42"/>
      <x:c r="H98" s="42"/>
      <x:c r="I98" s="42"/>
      <x:c r="J98" s="42"/>
      <x:c r="K98" s="42"/>
      <x:c r="L98" s="42"/>
      <x:c r="M98" s="42"/>
    </x:row>
    <x:row r="99">
      <x:c r="A99" s="42"/>
      <x:c r="B99" s="42"/>
      <x:c r="C99" s="42"/>
      <x:c r="D99" s="42"/>
      <x:c r="E99" s="42"/>
      <x:c r="F99" s="42"/>
      <x:c r="G99" s="42"/>
      <x:c r="H99" s="42"/>
      <x:c r="I99" s="42"/>
      <x:c r="J99" s="42"/>
      <x:c r="K99" s="42"/>
      <x:c r="L99" s="42"/>
      <x:c r="M99" s="42"/>
    </x:row>
    <x:row r="100">
      <x:c r="A100" s="42"/>
      <x:c r="B100" s="42"/>
      <x:c r="C100" s="42"/>
      <x:c r="D100" s="42"/>
      <x:c r="E100" s="42"/>
      <x:c r="F100" s="42"/>
      <x:c r="G100" s="42"/>
      <x:c r="H100" s="42"/>
      <x:c r="I100" s="42"/>
      <x:c r="J100" s="42"/>
      <x:c r="K100" s="42"/>
      <x:c r="L100" s="42"/>
      <x:c r="M100" s="42"/>
    </x:row>
    <x:row r="101">
      <x:c r="A101" s="42"/>
      <x:c r="B101" s="42"/>
      <x:c r="C101" s="42"/>
      <x:c r="D101" s="42"/>
      <x:c r="E101" s="42"/>
      <x:c r="F101" s="42"/>
      <x:c r="G101" s="42"/>
      <x:c r="H101" s="42"/>
      <x:c r="I101" s="42"/>
      <x:c r="J101" s="42"/>
      <x:c r="K101" s="42"/>
      <x:c r="L101" s="42"/>
      <x:c r="M101" s="42"/>
    </x:row>
    <x:row r="102">
      <x:c r="A102" s="42"/>
      <x:c r="B102" s="42"/>
      <x:c r="C102" s="42"/>
      <x:c r="D102" s="42"/>
      <x:c r="E102" s="42"/>
      <x:c r="F102" s="42"/>
      <x:c r="G102" s="42"/>
      <x:c r="H102" s="42"/>
      <x:c r="I102" s="42"/>
      <x:c r="J102" s="42"/>
      <x:c r="K102" s="42"/>
      <x:c r="L102" s="42"/>
      <x:c r="M102" s="42"/>
    </x:row>
    <x:row r="103">
      <x:c r="A103" s="42"/>
      <x:c r="B103" s="42"/>
      <x:c r="C103" s="42"/>
      <x:c r="D103" s="42"/>
      <x:c r="E103" s="42"/>
      <x:c r="F103" s="42"/>
      <x:c r="G103" s="42"/>
      <x:c r="H103" s="42"/>
      <x:c r="I103" s="42"/>
      <x:c r="J103" s="42"/>
      <x:c r="K103" s="42"/>
      <x:c r="L103" s="42"/>
      <x:c r="M103" s="42"/>
    </x:row>
    <x:row r="104">
      <x:c r="A104" s="42"/>
      <x:c r="B104" s="42"/>
      <x:c r="C104" s="42"/>
      <x:c r="D104" s="42"/>
      <x:c r="E104" s="42"/>
      <x:c r="F104" s="42"/>
      <x:c r="G104" s="42"/>
      <x:c r="H104" s="42"/>
      <x:c r="I104" s="42"/>
      <x:c r="J104" s="42"/>
      <x:c r="K104" s="42"/>
      <x:c r="L104" s="42"/>
      <x:c r="M104" s="42"/>
    </x:row>
    <x:row r="105">
      <x:c r="A105" s="42"/>
      <x:c r="B105" s="42"/>
      <x:c r="C105" s="42"/>
      <x:c r="D105" s="42"/>
      <x:c r="E105" s="42"/>
      <x:c r="F105" s="42"/>
      <x:c r="G105" s="42"/>
      <x:c r="H105" s="42"/>
      <x:c r="I105" s="42"/>
      <x:c r="J105" s="42"/>
      <x:c r="K105" s="42"/>
      <x:c r="L105" s="42"/>
      <x:c r="M105" s="42"/>
    </x:row>
    <x:row r="106">
      <x:c r="A106" s="42"/>
      <x:c r="B106" s="42"/>
      <x:c r="C106" s="42"/>
      <x:c r="D106" s="42"/>
      <x:c r="E106" s="42"/>
      <x:c r="F106" s="42"/>
      <x:c r="G106" s="42"/>
      <x:c r="H106" s="42"/>
      <x:c r="I106" s="42"/>
      <x:c r="J106" s="42"/>
      <x:c r="K106" s="42"/>
      <x:c r="L106" s="42"/>
      <x:c r="M106" s="42"/>
    </x:row>
    <x:row r="107">
      <x:c r="A107" s="42"/>
      <x:c r="B107" s="42"/>
      <x:c r="C107" s="42"/>
      <x:c r="D107" s="42"/>
      <x:c r="E107" s="42"/>
      <x:c r="F107" s="42"/>
      <x:c r="G107" s="42"/>
      <x:c r="H107" s="42"/>
      <x:c r="I107" s="42"/>
      <x:c r="J107" s="42"/>
      <x:c r="K107" s="42"/>
      <x:c r="L107" s="42"/>
      <x:c r="M107" s="42"/>
    </x:row>
    <x:row r="108">
      <x:c r="A108" s="42"/>
      <x:c r="B108" s="42"/>
      <x:c r="C108" s="42"/>
      <x:c r="D108" s="42"/>
      <x:c r="E108" s="42"/>
      <x:c r="F108" s="42"/>
      <x:c r="G108" s="42"/>
      <x:c r="H108" s="42"/>
      <x:c r="I108" s="42"/>
      <x:c r="J108" s="42"/>
      <x:c r="K108" s="42"/>
      <x:c r="L108" s="42"/>
      <x:c r="M108" s="42"/>
    </x:row>
    <x:row r="109">
      <x:c r="A109" s="42"/>
      <x:c r="B109" s="42"/>
      <x:c r="C109" s="42"/>
      <x:c r="D109" s="42"/>
      <x:c r="E109" s="42"/>
      <x:c r="F109" s="42"/>
      <x:c r="G109" s="42"/>
      <x:c r="H109" s="42"/>
      <x:c r="I109" s="42"/>
      <x:c r="J109" s="42"/>
      <x:c r="K109" s="42"/>
      <x:c r="L109" s="42"/>
      <x:c r="M109" s="42"/>
    </x:row>
    <x:row r="110">
      <x:c r="A110" s="42"/>
      <x:c r="B110" s="42"/>
      <x:c r="C110" s="42"/>
      <x:c r="D110" s="42"/>
      <x:c r="E110" s="42"/>
      <x:c r="F110" s="42"/>
      <x:c r="G110" s="42"/>
      <x:c r="H110" s="42"/>
      <x:c r="I110" s="42"/>
      <x:c r="J110" s="42"/>
      <x:c r="K110" s="42"/>
      <x:c r="L110" s="42"/>
      <x:c r="M110" s="42"/>
    </x:row>
    <x:row r="111">
      <x:c r="A111" s="42"/>
      <x:c r="B111" s="42"/>
      <x:c r="C111" s="42"/>
      <x:c r="D111" s="42"/>
      <x:c r="E111" s="42"/>
      <x:c r="F111" s="42"/>
      <x:c r="G111" s="42"/>
      <x:c r="H111" s="42"/>
      <x:c r="I111" s="42"/>
      <x:c r="J111" s="42"/>
      <x:c r="K111" s="42"/>
      <x:c r="L111" s="42"/>
      <x:c r="M111" s="42"/>
    </x:row>
    <x:row r="112">
      <x:c r="A112" s="42"/>
      <x:c r="B112" s="42"/>
      <x:c r="C112" s="42"/>
      <x:c r="D112" s="42"/>
      <x:c r="E112" s="42"/>
      <x:c r="F112" s="42"/>
      <x:c r="G112" s="42"/>
      <x:c r="H112" s="42"/>
      <x:c r="I112" s="42"/>
      <x:c r="J112" s="42"/>
      <x:c r="K112" s="42"/>
      <x:c r="L112" s="42"/>
      <x:c r="M112" s="42"/>
    </x:row>
    <x:row r="113">
      <x:c r="A113" s="42"/>
      <x:c r="B113" s="42"/>
      <x:c r="C113" s="42"/>
      <x:c r="D113" s="42"/>
      <x:c r="E113" s="42"/>
      <x:c r="F113" s="42"/>
      <x:c r="G113" s="42"/>
      <x:c r="H113" s="42"/>
      <x:c r="I113" s="42"/>
      <x:c r="J113" s="42"/>
      <x:c r="K113" s="42"/>
      <x:c r="L113" s="42"/>
      <x:c r="M113" s="42"/>
    </x:row>
    <x:row r="114">
      <x:c r="A114" s="42"/>
      <x:c r="B114" s="42"/>
      <x:c r="C114" s="42"/>
      <x:c r="D114" s="42"/>
      <x:c r="E114" s="42"/>
      <x:c r="F114" s="42"/>
      <x:c r="G114" s="42"/>
      <x:c r="H114" s="42"/>
      <x:c r="I114" s="42"/>
      <x:c r="J114" s="42"/>
      <x:c r="K114" s="42"/>
      <x:c r="L114" s="42"/>
      <x:c r="M114" s="42"/>
    </x:row>
    <x:row r="115">
      <x:c r="A115" s="42"/>
      <x:c r="B115" s="42"/>
      <x:c r="C115" s="42"/>
      <x:c r="D115" s="42"/>
      <x:c r="E115" s="42"/>
      <x:c r="F115" s="42"/>
      <x:c r="G115" s="42"/>
      <x:c r="H115" s="42"/>
      <x:c r="I115" s="42"/>
      <x:c r="J115" s="42"/>
      <x:c r="K115" s="42"/>
      <x:c r="L115" s="42"/>
      <x:c r="M115" s="42"/>
    </x:row>
    <x:row r="116">
      <x:c r="A116" s="42"/>
      <x:c r="B116" s="42"/>
      <x:c r="C116" s="42"/>
      <x:c r="D116" s="42"/>
      <x:c r="E116" s="42"/>
      <x:c r="F116" s="42"/>
      <x:c r="G116" s="42"/>
      <x:c r="H116" s="42"/>
      <x:c r="I116" s="42"/>
      <x:c r="J116" s="42"/>
      <x:c r="K116" s="42"/>
      <x:c r="L116" s="42"/>
      <x:c r="M116" s="42"/>
    </x:row>
    <x:row r="117">
      <x:c r="A117" s="42"/>
      <x:c r="B117" s="42"/>
      <x:c r="C117" s="42"/>
      <x:c r="D117" s="42"/>
      <x:c r="E117" s="42"/>
      <x:c r="F117" s="42"/>
      <x:c r="G117" s="42"/>
      <x:c r="H117" s="42"/>
      <x:c r="I117" s="42"/>
      <x:c r="J117" s="42"/>
      <x:c r="K117" s="42"/>
      <x:c r="L117" s="42"/>
      <x:c r="M117" s="42"/>
    </x:row>
    <x:row r="118">
      <x:c r="A118" s="42"/>
      <x:c r="B118" s="42"/>
      <x:c r="C118" s="42"/>
      <x:c r="D118" s="42"/>
      <x:c r="E118" s="42"/>
      <x:c r="F118" s="42"/>
      <x:c r="G118" s="42"/>
      <x:c r="H118" s="42"/>
      <x:c r="I118" s="42"/>
      <x:c r="J118" s="42"/>
      <x:c r="K118" s="42"/>
      <x:c r="L118" s="42"/>
      <x:c r="M118" s="42"/>
    </x:row>
    <x:row r="119">
      <x:c r="A119" s="42"/>
      <x:c r="B119" s="42"/>
      <x:c r="C119" s="42"/>
      <x:c r="D119" s="42"/>
      <x:c r="E119" s="42"/>
      <x:c r="F119" s="42"/>
      <x:c r="G119" s="42"/>
      <x:c r="H119" s="42"/>
      <x:c r="I119" s="42"/>
      <x:c r="J119" s="42"/>
      <x:c r="K119" s="42"/>
      <x:c r="L119" s="42"/>
      <x:c r="M119" s="42"/>
    </x:row>
    <x:row r="120">
      <x:c r="A120" s="42"/>
      <x:c r="B120" s="42"/>
      <x:c r="C120" s="42"/>
      <x:c r="D120" s="42"/>
      <x:c r="E120" s="42"/>
      <x:c r="F120" s="42"/>
      <x:c r="G120" s="42"/>
      <x:c r="H120" s="42"/>
      <x:c r="I120" s="42"/>
      <x:c r="J120" s="42"/>
      <x:c r="K120" s="42"/>
      <x:c r="L120" s="42"/>
      <x:c r="M120" s="42"/>
    </x:row>
    <x:row r="121">
      <x:c r="A121" s="42"/>
      <x:c r="B121" s="42"/>
      <x:c r="C121" s="42"/>
      <x:c r="D121" s="42"/>
      <x:c r="E121" s="42"/>
      <x:c r="F121" s="42"/>
      <x:c r="G121" s="42"/>
      <x:c r="H121" s="42"/>
      <x:c r="I121" s="42"/>
      <x:c r="J121" s="42"/>
      <x:c r="K121" s="42"/>
      <x:c r="L121" s="42"/>
      <x:c r="M121" s="42"/>
    </x:row>
    <x:row r="122">
      <x:c r="A122" s="42"/>
      <x:c r="B122" s="42"/>
      <x:c r="C122" s="42"/>
      <x:c r="D122" s="42"/>
      <x:c r="E122" s="42"/>
      <x:c r="F122" s="42"/>
      <x:c r="G122" s="42"/>
      <x:c r="H122" s="42"/>
      <x:c r="I122" s="42"/>
      <x:c r="J122" s="42"/>
      <x:c r="K122" s="42"/>
      <x:c r="L122" s="42"/>
      <x:c r="M122" s="42"/>
    </x:row>
    <x:row r="123">
      <x:c r="A123" s="42"/>
      <x:c r="B123" s="42"/>
      <x:c r="C123" s="42"/>
      <x:c r="D123" s="42"/>
      <x:c r="E123" s="42"/>
      <x:c r="F123" s="42"/>
      <x:c r="G123" s="42"/>
      <x:c r="H123" s="42"/>
      <x:c r="I123" s="42"/>
      <x:c r="J123" s="42"/>
      <x:c r="K123" s="42"/>
      <x:c r="L123" s="42"/>
      <x:c r="M123" s="42"/>
    </x:row>
    <x:row r="124">
      <x:c r="A124" s="42"/>
      <x:c r="B124" s="42"/>
      <x:c r="C124" s="42"/>
      <x:c r="D124" s="42"/>
      <x:c r="E124" s="42"/>
      <x:c r="F124" s="42"/>
      <x:c r="G124" s="42"/>
      <x:c r="H124" s="42"/>
      <x:c r="I124" s="42"/>
      <x:c r="J124" s="42"/>
      <x:c r="K124" s="42"/>
      <x:c r="L124" s="42"/>
      <x:c r="M124" s="42"/>
    </x:row>
    <x:row r="125">
      <x:c r="A125" s="42"/>
      <x:c r="B125" s="42"/>
      <x:c r="C125" s="42"/>
      <x:c r="D125" s="42"/>
      <x:c r="E125" s="42"/>
      <x:c r="F125" s="42"/>
      <x:c r="G125" s="42"/>
      <x:c r="H125" s="42"/>
      <x:c r="I125" s="42"/>
      <x:c r="J125" s="42"/>
      <x:c r="K125" s="42"/>
      <x:c r="L125" s="42"/>
      <x:c r="M125" s="42"/>
    </x:row>
    <x:row r="126">
      <x:c r="A126" s="42"/>
      <x:c r="B126" s="42"/>
      <x:c r="C126" s="42"/>
      <x:c r="D126" s="42"/>
      <x:c r="E126" s="42"/>
      <x:c r="F126" s="42"/>
      <x:c r="G126" s="42"/>
      <x:c r="H126" s="42"/>
      <x:c r="I126" s="42"/>
      <x:c r="J126" s="42"/>
      <x:c r="K126" s="42"/>
      <x:c r="L126" s="42"/>
      <x:c r="M126" s="42"/>
    </x:row>
    <x:row r="127">
      <x:c r="A127" s="42"/>
      <x:c r="B127" s="42"/>
      <x:c r="C127" s="42"/>
      <x:c r="D127" s="42"/>
      <x:c r="E127" s="42"/>
      <x:c r="F127" s="42"/>
      <x:c r="G127" s="42"/>
      <x:c r="H127" s="42"/>
      <x:c r="I127" s="42"/>
      <x:c r="J127" s="42"/>
      <x:c r="K127" s="42"/>
      <x:c r="L127" s="42"/>
      <x:c r="M127" s="42"/>
    </x:row>
    <x:row r="128">
      <x:c r="A128" s="42"/>
      <x:c r="B128" s="42"/>
      <x:c r="C128" s="42"/>
      <x:c r="D128" s="42"/>
      <x:c r="E128" s="42"/>
      <x:c r="F128" s="42"/>
      <x:c r="G128" s="42"/>
      <x:c r="H128" s="42"/>
      <x:c r="I128" s="42"/>
      <x:c r="J128" s="42"/>
      <x:c r="K128" s="42"/>
      <x:c r="L128" s="42"/>
      <x:c r="M128" s="42"/>
    </x:row>
    <x:row r="129">
      <x:c r="A129" s="42"/>
      <x:c r="B129" s="42"/>
      <x:c r="C129" s="42"/>
      <x:c r="D129" s="42"/>
      <x:c r="E129" s="42"/>
      <x:c r="F129" s="42"/>
      <x:c r="G129" s="42"/>
      <x:c r="H129" s="42"/>
      <x:c r="I129" s="42"/>
      <x:c r="J129" s="42"/>
      <x:c r="K129" s="42"/>
      <x:c r="L129" s="42"/>
      <x:c r="M129" s="42"/>
    </x:row>
    <x:row r="130">
      <x:c r="A130" s="42"/>
      <x:c r="B130" s="42"/>
      <x:c r="C130" s="42"/>
      <x:c r="D130" s="42"/>
      <x:c r="E130" s="42"/>
      <x:c r="F130" s="42"/>
      <x:c r="G130" s="42"/>
      <x:c r="H130" s="42"/>
      <x:c r="I130" s="42"/>
      <x:c r="J130" s="42"/>
      <x:c r="K130" s="42"/>
      <x:c r="L130" s="42"/>
      <x:c r="M130" s="42"/>
    </x:row>
    <x:row r="131">
      <x:c r="A131" s="42"/>
      <x:c r="B131" s="42"/>
      <x:c r="C131" s="42"/>
      <x:c r="D131" s="42"/>
      <x:c r="E131" s="42"/>
      <x:c r="F131" s="42"/>
      <x:c r="G131" s="42"/>
      <x:c r="H131" s="42"/>
      <x:c r="I131" s="42"/>
      <x:c r="J131" s="42"/>
      <x:c r="K131" s="42"/>
      <x:c r="L131" s="42"/>
      <x:c r="M131" s="42"/>
    </x:row>
    <x:row r="132">
      <x:c r="A132" s="42"/>
      <x:c r="B132" s="42"/>
      <x:c r="C132" s="42"/>
      <x:c r="D132" s="42"/>
      <x:c r="E132" s="42"/>
      <x:c r="F132" s="42"/>
      <x:c r="G132" s="42"/>
      <x:c r="H132" s="42"/>
      <x:c r="I132" s="42"/>
      <x:c r="J132" s="42"/>
      <x:c r="K132" s="42"/>
      <x:c r="L132" s="42"/>
      <x:c r="M132" s="42"/>
    </x:row>
    <x:row r="133">
      <x:c r="A133" s="42"/>
      <x:c r="B133" s="42"/>
      <x:c r="C133" s="42"/>
      <x:c r="D133" s="42"/>
      <x:c r="E133" s="42"/>
      <x:c r="F133" s="42"/>
      <x:c r="G133" s="42"/>
      <x:c r="H133" s="42"/>
      <x:c r="I133" s="42"/>
      <x:c r="J133" s="42"/>
      <x:c r="K133" s="42"/>
      <x:c r="L133" s="42"/>
      <x:c r="M133" s="42"/>
    </x:row>
    <x:row r="134">
      <x:c r="A134" s="42"/>
      <x:c r="B134" s="42"/>
      <x:c r="C134" s="42"/>
      <x:c r="D134" s="42"/>
      <x:c r="E134" s="42"/>
      <x:c r="F134" s="42"/>
      <x:c r="G134" s="42"/>
      <x:c r="H134" s="42"/>
      <x:c r="I134" s="42"/>
      <x:c r="J134" s="42"/>
      <x:c r="K134" s="42"/>
      <x:c r="L134" s="42"/>
      <x:c r="M134" s="42"/>
    </x:row>
    <x:row r="135">
      <x:c r="A135" s="42"/>
      <x:c r="B135" s="42"/>
      <x:c r="C135" s="42"/>
      <x:c r="D135" s="42"/>
      <x:c r="E135" s="42"/>
      <x:c r="F135" s="42"/>
      <x:c r="G135" s="42"/>
      <x:c r="H135" s="42"/>
      <x:c r="I135" s="42"/>
      <x:c r="J135" s="42"/>
      <x:c r="K135" s="42"/>
      <x:c r="L135" s="42"/>
      <x:c r="M135" s="42"/>
    </x:row>
    <x:row r="136">
      <x:c r="A136" s="42"/>
      <x:c r="B136" s="42"/>
      <x:c r="C136" s="42"/>
      <x:c r="D136" s="42"/>
      <x:c r="E136" s="42"/>
      <x:c r="F136" s="42"/>
      <x:c r="G136" s="42"/>
      <x:c r="H136" s="42"/>
      <x:c r="I136" s="42"/>
      <x:c r="J136" s="42"/>
      <x:c r="K136" s="42"/>
      <x:c r="L136" s="42"/>
      <x:c r="M136" s="42"/>
    </x:row>
    <x:row r="137">
      <x:c r="A137" s="42"/>
      <x:c r="B137" s="42"/>
      <x:c r="C137" s="42"/>
      <x:c r="D137" s="42"/>
      <x:c r="E137" s="42"/>
      <x:c r="F137" s="42"/>
      <x:c r="G137" s="42"/>
      <x:c r="H137" s="42"/>
      <x:c r="I137" s="42"/>
      <x:c r="J137" s="42"/>
      <x:c r="K137" s="42"/>
      <x:c r="L137" s="42"/>
      <x:c r="M137" s="42"/>
    </x:row>
    <x:row r="138">
      <x:c r="A138" s="42"/>
      <x:c r="B138" s="42"/>
      <x:c r="C138" s="42"/>
      <x:c r="D138" s="42"/>
      <x:c r="E138" s="42"/>
      <x:c r="F138" s="42"/>
      <x:c r="G138" s="42"/>
      <x:c r="H138" s="42"/>
      <x:c r="I138" s="42"/>
      <x:c r="J138" s="42"/>
      <x:c r="K138" s="42"/>
      <x:c r="L138" s="42"/>
      <x:c r="M138" s="42"/>
    </x:row>
    <x:row r="139">
      <x:c r="A139" s="42"/>
      <x:c r="B139" s="42"/>
      <x:c r="C139" s="42"/>
      <x:c r="D139" s="42"/>
      <x:c r="E139" s="42"/>
      <x:c r="F139" s="42"/>
      <x:c r="G139" s="42"/>
      <x:c r="H139" s="42"/>
      <x:c r="I139" s="42"/>
      <x:c r="J139" s="42"/>
      <x:c r="K139" s="42"/>
      <x:c r="L139" s="42"/>
      <x:c r="M139" s="42"/>
    </x:row>
    <x:row r="140">
      <x:c r="A140" s="42"/>
      <x:c r="B140" s="42"/>
      <x:c r="C140" s="42"/>
      <x:c r="D140" s="42"/>
      <x:c r="E140" s="42"/>
      <x:c r="F140" s="42"/>
      <x:c r="G140" s="42"/>
      <x:c r="H140" s="42"/>
      <x:c r="I140" s="42"/>
      <x:c r="J140" s="42"/>
      <x:c r="K140" s="42"/>
      <x:c r="L140" s="42"/>
      <x:c r="M140" s="42"/>
    </x:row>
    <x:row r="141">
      <x:c r="A141" s="42"/>
      <x:c r="B141" s="42"/>
      <x:c r="C141" s="42"/>
      <x:c r="D141" s="42"/>
      <x:c r="E141" s="42"/>
      <x:c r="F141" s="42"/>
      <x:c r="G141" s="42"/>
      <x:c r="H141" s="42"/>
      <x:c r="I141" s="42"/>
      <x:c r="J141" s="42"/>
      <x:c r="K141" s="42"/>
      <x:c r="L141" s="42"/>
      <x:c r="M141" s="42"/>
    </x:row>
    <x:row r="142">
      <x:c r="A142" s="42"/>
      <x:c r="B142" s="42"/>
      <x:c r="C142" s="42"/>
      <x:c r="D142" s="42"/>
      <x:c r="E142" s="42"/>
      <x:c r="F142" s="42"/>
      <x:c r="G142" s="42"/>
      <x:c r="H142" s="42"/>
      <x:c r="I142" s="42"/>
      <x:c r="J142" s="42"/>
      <x:c r="K142" s="42"/>
      <x:c r="L142" s="42"/>
      <x:c r="M142" s="42"/>
    </x:row>
    <x:row r="143">
      <x:c r="A143" s="42"/>
      <x:c r="B143" s="42"/>
      <x:c r="C143" s="42"/>
      <x:c r="D143" s="42"/>
      <x:c r="E143" s="42"/>
      <x:c r="F143" s="42"/>
      <x:c r="G143" s="42"/>
      <x:c r="H143" s="42"/>
      <x:c r="I143" s="42"/>
      <x:c r="J143" s="42"/>
      <x:c r="K143" s="42"/>
      <x:c r="L143" s="42"/>
      <x:c r="M143" s="42"/>
    </x:row>
    <x:row r="144">
      <x:c r="A144" s="42"/>
      <x:c r="B144" s="42"/>
      <x:c r="C144" s="42"/>
      <x:c r="D144" s="42"/>
      <x:c r="E144" s="42"/>
      <x:c r="F144" s="42"/>
      <x:c r="G144" s="42"/>
      <x:c r="H144" s="42"/>
      <x:c r="I144" s="42"/>
      <x:c r="J144" s="42"/>
      <x:c r="K144" s="42"/>
      <x:c r="L144" s="42"/>
      <x:c r="M144" s="42"/>
    </x:row>
    <x:row r="145">
      <x:c r="A145" s="42"/>
      <x:c r="B145" s="42"/>
      <x:c r="C145" s="42"/>
      <x:c r="D145" s="42"/>
      <x:c r="E145" s="42"/>
      <x:c r="F145" s="42"/>
      <x:c r="G145" s="42"/>
      <x:c r="H145" s="42"/>
      <x:c r="I145" s="42"/>
      <x:c r="J145" s="42"/>
      <x:c r="K145" s="42"/>
      <x:c r="L145" s="42"/>
      <x:c r="M145" s="42"/>
    </x:row>
    <x:row r="146">
      <x:c r="A146" s="42"/>
      <x:c r="B146" s="42"/>
      <x:c r="C146" s="42"/>
      <x:c r="D146" s="42"/>
      <x:c r="E146" s="42"/>
      <x:c r="F146" s="42"/>
      <x:c r="G146" s="42"/>
      <x:c r="H146" s="42"/>
      <x:c r="I146" s="42"/>
      <x:c r="J146" s="42"/>
      <x:c r="K146" s="42"/>
      <x:c r="L146" s="42"/>
      <x:c r="M146" s="42"/>
    </x:row>
    <x:row r="147">
      <x:c r="A147" s="42"/>
      <x:c r="B147" s="42"/>
      <x:c r="C147" s="42"/>
      <x:c r="D147" s="42"/>
      <x:c r="E147" s="42"/>
      <x:c r="F147" s="42"/>
      <x:c r="G147" s="42"/>
      <x:c r="H147" s="42"/>
      <x:c r="I147" s="42"/>
      <x:c r="J147" s="42"/>
      <x:c r="K147" s="42"/>
      <x:c r="L147" s="42"/>
      <x:c r="M147" s="42"/>
    </x:row>
    <x:row r="148">
      <x:c r="A148" s="42"/>
      <x:c r="B148" s="42"/>
      <x:c r="C148" s="42"/>
      <x:c r="D148" s="42"/>
      <x:c r="E148" s="42"/>
      <x:c r="F148" s="42"/>
      <x:c r="G148" s="42"/>
      <x:c r="H148" s="42"/>
      <x:c r="I148" s="42"/>
      <x:c r="J148" s="42"/>
      <x:c r="K148" s="42"/>
      <x:c r="L148" s="42"/>
      <x:c r="M148" s="42"/>
    </x:row>
    <x:row r="149">
      <x:c r="A149" s="42"/>
      <x:c r="B149" s="42"/>
      <x:c r="C149" s="42"/>
      <x:c r="D149" s="42"/>
      <x:c r="E149" s="42"/>
      <x:c r="F149" s="42"/>
      <x:c r="G149" s="42"/>
      <x:c r="H149" s="42"/>
      <x:c r="I149" s="42"/>
      <x:c r="J149" s="42"/>
      <x:c r="K149" s="42"/>
      <x:c r="L149" s="42"/>
      <x:c r="M149" s="42"/>
    </x:row>
    <x:row r="150">
      <x:c r="A150" s="42"/>
      <x:c r="B150" s="42"/>
      <x:c r="C150" s="42"/>
      <x:c r="D150" s="42"/>
      <x:c r="E150" s="42"/>
      <x:c r="F150" s="42"/>
      <x:c r="G150" s="42"/>
      <x:c r="H150" s="42"/>
      <x:c r="I150" s="42"/>
      <x:c r="J150" s="42"/>
      <x:c r="K150" s="42"/>
      <x:c r="L150" s="42"/>
      <x:c r="M150" s="42"/>
    </x:row>
    <x:row r="151">
      <x:c r="A151" s="42"/>
      <x:c r="B151" s="42"/>
      <x:c r="C151" s="42"/>
      <x:c r="D151" s="42"/>
      <x:c r="E151" s="42"/>
      <x:c r="F151" s="42"/>
      <x:c r="G151" s="42"/>
      <x:c r="H151" s="42"/>
      <x:c r="I151" s="42"/>
      <x:c r="J151" s="42"/>
      <x:c r="K151" s="42"/>
      <x:c r="L151" s="42"/>
      <x:c r="M151" s="42"/>
    </x:row>
    <x:row r="152">
      <x:c r="A152" s="42"/>
      <x:c r="B152" s="42"/>
      <x:c r="C152" s="42"/>
      <x:c r="D152" s="42"/>
      <x:c r="E152" s="42"/>
      <x:c r="F152" s="42"/>
      <x:c r="G152" s="42"/>
      <x:c r="H152" s="42"/>
      <x:c r="I152" s="42"/>
      <x:c r="J152" s="42"/>
      <x:c r="K152" s="42"/>
      <x:c r="L152" s="42"/>
      <x:c r="M152" s="42"/>
    </x:row>
    <x:row r="153">
      <x:c r="A153" s="42"/>
      <x:c r="B153" s="42"/>
      <x:c r="C153" s="42"/>
      <x:c r="D153" s="42"/>
      <x:c r="E153" s="42"/>
      <x:c r="F153" s="42"/>
      <x:c r="G153" s="42"/>
      <x:c r="H153" s="42"/>
      <x:c r="I153" s="42"/>
      <x:c r="J153" s="42"/>
      <x:c r="K153" s="42"/>
      <x:c r="L153" s="42"/>
      <x:c r="M153" s="42"/>
    </x:row>
    <x:row r="154">
      <x:c r="A154" s="42"/>
      <x:c r="B154" s="42"/>
      <x:c r="C154" s="42"/>
      <x:c r="D154" s="42"/>
      <x:c r="E154" s="42"/>
      <x:c r="F154" s="42"/>
      <x:c r="G154" s="42"/>
      <x:c r="H154" s="42"/>
      <x:c r="I154" s="42"/>
      <x:c r="J154" s="42"/>
      <x:c r="K154" s="42"/>
      <x:c r="L154" s="42"/>
      <x:c r="M154" s="42"/>
    </x:row>
    <x:row r="155">
      <x:c r="A155" s="42"/>
      <x:c r="B155" s="42"/>
      <x:c r="C155" s="42"/>
      <x:c r="D155" s="42"/>
      <x:c r="E155" s="42"/>
      <x:c r="F155" s="42"/>
      <x:c r="G155" s="42"/>
      <x:c r="H155" s="42"/>
      <x:c r="I155" s="42"/>
      <x:c r="J155" s="42"/>
      <x:c r="K155" s="42"/>
      <x:c r="L155" s="42"/>
      <x:c r="M155" s="42"/>
    </x:row>
    <x:row r="156">
      <x:c r="A156" s="42"/>
      <x:c r="B156" s="42"/>
      <x:c r="C156" s="42"/>
      <x:c r="D156" s="42"/>
      <x:c r="E156" s="42"/>
      <x:c r="F156" s="42"/>
      <x:c r="G156" s="42"/>
      <x:c r="H156" s="42"/>
      <x:c r="I156" s="42"/>
      <x:c r="J156" s="42"/>
      <x:c r="K156" s="42"/>
      <x:c r="L156" s="42"/>
      <x:c r="M156" s="42"/>
    </x:row>
    <x:row r="157">
      <x:c r="A157" s="42"/>
      <x:c r="B157" s="42"/>
      <x:c r="C157" s="42"/>
      <x:c r="D157" s="42"/>
      <x:c r="E157" s="42"/>
      <x:c r="F157" s="42"/>
      <x:c r="G157" s="42"/>
      <x:c r="H157" s="42"/>
      <x:c r="I157" s="42"/>
      <x:c r="J157" s="42"/>
      <x:c r="K157" s="42"/>
      <x:c r="L157" s="42"/>
      <x:c r="M157" s="42"/>
    </x:row>
    <x:row r="158">
      <x:c r="A158" s="42"/>
      <x:c r="B158" s="42"/>
      <x:c r="C158" s="42"/>
      <x:c r="D158" s="42"/>
      <x:c r="E158" s="42"/>
      <x:c r="F158" s="42"/>
      <x:c r="G158" s="42"/>
      <x:c r="H158" s="42"/>
      <x:c r="I158" s="42"/>
      <x:c r="J158" s="42"/>
      <x:c r="K158" s="42"/>
      <x:c r="L158" s="42"/>
      <x:c r="M158" s="42"/>
    </x:row>
    <x:row r="159">
      <x:c r="A159" s="42"/>
      <x:c r="B159" s="42"/>
      <x:c r="C159" s="42"/>
      <x:c r="D159" s="42"/>
      <x:c r="E159" s="42"/>
      <x:c r="F159" s="42"/>
      <x:c r="G159" s="42"/>
      <x:c r="H159" s="42"/>
      <x:c r="I159" s="42"/>
      <x:c r="J159" s="42"/>
      <x:c r="K159" s="42"/>
      <x:c r="L159" s="42"/>
      <x:c r="M159" s="42"/>
    </x:row>
    <x:row r="160">
      <x:c r="A160" s="42"/>
      <x:c r="B160" s="42"/>
      <x:c r="C160" s="42"/>
      <x:c r="D160" s="42"/>
      <x:c r="E160" s="42"/>
      <x:c r="F160" s="42"/>
      <x:c r="G160" s="42"/>
      <x:c r="H160" s="42"/>
      <x:c r="I160" s="42"/>
      <x:c r="J160" s="42"/>
      <x:c r="K160" s="42"/>
      <x:c r="L160" s="42"/>
      <x:c r="M160" s="42"/>
    </x:row>
    <x:row r="161">
      <x:c r="A161" s="42"/>
      <x:c r="B161" s="42"/>
      <x:c r="C161" s="42"/>
      <x:c r="D161" s="42"/>
      <x:c r="E161" s="42"/>
      <x:c r="F161" s="42"/>
      <x:c r="G161" s="42"/>
      <x:c r="H161" s="42"/>
      <x:c r="I161" s="42"/>
      <x:c r="J161" s="42"/>
      <x:c r="K161" s="42"/>
      <x:c r="L161" s="42"/>
      <x:c r="M161" s="42"/>
    </x:row>
    <x:row r="162">
      <x:c r="A162" s="42"/>
      <x:c r="B162" s="42"/>
      <x:c r="C162" s="42"/>
      <x:c r="D162" s="42"/>
      <x:c r="E162" s="42"/>
      <x:c r="F162" s="42"/>
      <x:c r="G162" s="42"/>
      <x:c r="H162" s="42"/>
      <x:c r="I162" s="42"/>
      <x:c r="J162" s="42"/>
      <x:c r="K162" s="42"/>
      <x:c r="L162" s="42"/>
      <x:c r="M162" s="42"/>
    </x:row>
    <x:row r="163">
      <x:c r="A163" s="42"/>
      <x:c r="B163" s="42"/>
      <x:c r="C163" s="42"/>
      <x:c r="D163" s="42"/>
      <x:c r="E163" s="42"/>
      <x:c r="F163" s="42"/>
      <x:c r="G163" s="42"/>
      <x:c r="H163" s="42"/>
      <x:c r="I163" s="42"/>
      <x:c r="J163" s="42"/>
      <x:c r="K163" s="42"/>
      <x:c r="L163" s="42"/>
      <x:c r="M163" s="42"/>
    </x:row>
    <x:row r="164">
      <x:c r="A164" s="42"/>
      <x:c r="B164" s="42"/>
      <x:c r="C164" s="42"/>
      <x:c r="D164" s="42"/>
      <x:c r="E164" s="42"/>
      <x:c r="F164" s="42"/>
      <x:c r="G164" s="42"/>
      <x:c r="H164" s="42"/>
      <x:c r="I164" s="42"/>
      <x:c r="J164" s="42"/>
      <x:c r="K164" s="42"/>
      <x:c r="L164" s="42"/>
      <x:c r="M164" s="42"/>
    </x:row>
    <x:row r="165">
      <x:c r="A165" s="42"/>
      <x:c r="B165" s="42"/>
      <x:c r="C165" s="42"/>
      <x:c r="D165" s="42"/>
      <x:c r="E165" s="42"/>
      <x:c r="F165" s="42"/>
      <x:c r="G165" s="42"/>
      <x:c r="H165" s="42"/>
      <x:c r="I165" s="42"/>
      <x:c r="J165" s="42"/>
      <x:c r="K165" s="42"/>
      <x:c r="L165" s="42"/>
      <x:c r="M165" s="42"/>
    </x:row>
    <x:row r="166">
      <x:c r="A166" s="42"/>
      <x:c r="B166" s="42"/>
      <x:c r="C166" s="42"/>
      <x:c r="D166" s="42"/>
      <x:c r="E166" s="42"/>
      <x:c r="F166" s="42"/>
      <x:c r="G166" s="42"/>
      <x:c r="H166" s="42"/>
      <x:c r="I166" s="42"/>
      <x:c r="J166" s="42"/>
      <x:c r="K166" s="42"/>
      <x:c r="L166" s="42"/>
      <x:c r="M166" s="42"/>
    </x:row>
    <x:row r="167">
      <x:c r="A167" s="42"/>
      <x:c r="B167" s="42"/>
      <x:c r="C167" s="42"/>
      <x:c r="D167" s="42"/>
      <x:c r="E167" s="42"/>
      <x:c r="F167" s="42"/>
      <x:c r="G167" s="42"/>
      <x:c r="H167" s="42"/>
      <x:c r="I167" s="42"/>
      <x:c r="J167" s="42"/>
      <x:c r="K167" s="42"/>
      <x:c r="L167" s="42"/>
      <x:c r="M167" s="42"/>
    </x:row>
    <x:row r="168">
      <x:c r="A168" s="42"/>
      <x:c r="B168" s="42"/>
      <x:c r="C168" s="42"/>
      <x:c r="D168" s="42"/>
      <x:c r="E168" s="42"/>
      <x:c r="F168" s="42"/>
      <x:c r="G168" s="42"/>
      <x:c r="H168" s="42"/>
      <x:c r="I168" s="42"/>
      <x:c r="J168" s="42"/>
      <x:c r="K168" s="42"/>
      <x:c r="L168" s="42"/>
      <x:c r="M168" s="42"/>
    </x:row>
    <x:row r="169">
      <x:c r="A169" s="42"/>
      <x:c r="B169" s="42"/>
      <x:c r="C169" s="42"/>
      <x:c r="D169" s="42"/>
      <x:c r="E169" s="42"/>
      <x:c r="F169" s="42"/>
      <x:c r="G169" s="42"/>
      <x:c r="H169" s="42"/>
      <x:c r="I169" s="42"/>
      <x:c r="J169" s="42"/>
      <x:c r="K169" s="42"/>
      <x:c r="L169" s="42"/>
      <x:c r="M169" s="42"/>
    </x:row>
    <x:row r="170">
      <x:c r="A170" s="42"/>
      <x:c r="B170" s="42"/>
      <x:c r="C170" s="42"/>
      <x:c r="D170" s="42"/>
      <x:c r="E170" s="42"/>
      <x:c r="F170" s="42"/>
      <x:c r="G170" s="42"/>
      <x:c r="H170" s="42"/>
      <x:c r="I170" s="42"/>
      <x:c r="J170" s="42"/>
      <x:c r="K170" s="42"/>
      <x:c r="L170" s="42"/>
      <x:c r="M170" s="42"/>
    </x:row>
    <x:row r="171">
      <x:c r="A171" s="42"/>
      <x:c r="B171" s="42"/>
      <x:c r="C171" s="42"/>
      <x:c r="D171" s="42"/>
      <x:c r="E171" s="42"/>
      <x:c r="F171" s="42"/>
      <x:c r="G171" s="42"/>
      <x:c r="H171" s="42"/>
      <x:c r="I171" s="42"/>
      <x:c r="J171" s="42"/>
      <x:c r="K171" s="42"/>
      <x:c r="L171" s="42"/>
      <x:c r="M171" s="42"/>
    </x:row>
    <x:row r="172">
      <x:c r="A172" s="42"/>
      <x:c r="B172" s="42"/>
      <x:c r="C172" s="42"/>
      <x:c r="D172" s="42"/>
      <x:c r="E172" s="42"/>
      <x:c r="F172" s="42"/>
      <x:c r="G172" s="42"/>
      <x:c r="H172" s="42"/>
      <x:c r="I172" s="42"/>
      <x:c r="J172" s="42"/>
      <x:c r="K172" s="42"/>
      <x:c r="L172" s="42"/>
      <x:c r="M172" s="42"/>
    </x:row>
    <x:row r="173">
      <x:c r="A173" s="42"/>
      <x:c r="B173" s="42"/>
      <x:c r="C173" s="42"/>
      <x:c r="D173" s="42"/>
      <x:c r="E173" s="42"/>
      <x:c r="F173" s="42"/>
      <x:c r="G173" s="42"/>
      <x:c r="H173" s="42"/>
      <x:c r="I173" s="42"/>
      <x:c r="J173" s="42"/>
      <x:c r="K173" s="42"/>
      <x:c r="L173" s="42"/>
      <x:c r="M173" s="42"/>
    </x:row>
    <x:row r="174">
      <x:c r="A174" s="42"/>
      <x:c r="B174" s="42"/>
      <x:c r="C174" s="42"/>
      <x:c r="D174" s="42"/>
      <x:c r="E174" s="42"/>
      <x:c r="F174" s="42"/>
      <x:c r="G174" s="42"/>
      <x:c r="H174" s="42"/>
      <x:c r="I174" s="42"/>
      <x:c r="J174" s="42"/>
      <x:c r="K174" s="42"/>
      <x:c r="L174" s="42"/>
      <x:c r="M174" s="42"/>
    </x:row>
    <x:row r="175">
      <x:c r="A175" s="42"/>
      <x:c r="B175" s="42"/>
      <x:c r="C175" s="42"/>
      <x:c r="D175" s="42"/>
      <x:c r="E175" s="42"/>
      <x:c r="F175" s="42"/>
      <x:c r="G175" s="42"/>
      <x:c r="H175" s="42"/>
      <x:c r="I175" s="42"/>
      <x:c r="J175" s="42"/>
      <x:c r="K175" s="42"/>
      <x:c r="L175" s="42"/>
      <x:c r="M175" s="42"/>
    </x:row>
    <x:row r="176">
      <x:c r="A176" s="42"/>
      <x:c r="B176" s="42"/>
      <x:c r="C176" s="42"/>
      <x:c r="D176" s="42"/>
      <x:c r="E176" s="42"/>
      <x:c r="F176" s="42"/>
      <x:c r="G176" s="42"/>
      <x:c r="H176" s="42"/>
      <x:c r="I176" s="42"/>
      <x:c r="J176" s="42"/>
      <x:c r="K176" s="42"/>
      <x:c r="L176" s="42"/>
      <x:c r="M176" s="42"/>
    </x:row>
    <x:row r="177">
      <x:c r="A177" s="42"/>
      <x:c r="B177" s="42"/>
      <x:c r="C177" s="42"/>
      <x:c r="D177" s="42"/>
      <x:c r="E177" s="42"/>
      <x:c r="F177" s="42"/>
      <x:c r="G177" s="42"/>
      <x:c r="H177" s="42"/>
      <x:c r="I177" s="42"/>
      <x:c r="J177" s="42"/>
      <x:c r="K177" s="42"/>
      <x:c r="L177" s="42"/>
      <x:c r="M177" s="42"/>
    </x:row>
    <x:row r="178">
      <x:c r="A178" s="42"/>
      <x:c r="B178" s="42"/>
      <x:c r="C178" s="42"/>
      <x:c r="D178" s="42"/>
      <x:c r="E178" s="42"/>
      <x:c r="F178" s="42"/>
      <x:c r="G178" s="42"/>
      <x:c r="H178" s="42"/>
      <x:c r="I178" s="42"/>
      <x:c r="J178" s="42"/>
      <x:c r="K178" s="42"/>
      <x:c r="L178" s="42"/>
      <x:c r="M178" s="42"/>
    </x:row>
    <x:row r="179">
      <x:c r="A179" s="42"/>
      <x:c r="B179" s="42"/>
      <x:c r="C179" s="42"/>
      <x:c r="D179" s="42"/>
      <x:c r="E179" s="42"/>
      <x:c r="F179" s="42"/>
      <x:c r="G179" s="42"/>
      <x:c r="H179" s="42"/>
      <x:c r="I179" s="42"/>
      <x:c r="J179" s="42"/>
      <x:c r="K179" s="42"/>
      <x:c r="L179" s="42"/>
      <x:c r="M179" s="42"/>
    </x:row>
    <x:row r="180">
      <x:c r="A180" s="42"/>
      <x:c r="B180" s="42"/>
      <x:c r="C180" s="42"/>
      <x:c r="D180" s="42"/>
      <x:c r="E180" s="42"/>
      <x:c r="F180" s="42"/>
      <x:c r="G180" s="42"/>
      <x:c r="H180" s="42"/>
      <x:c r="I180" s="42"/>
      <x:c r="J180" s="42"/>
      <x:c r="K180" s="42"/>
      <x:c r="L180" s="42"/>
      <x:c r="M180" s="42"/>
    </x:row>
    <x:row r="181">
      <x:c r="A181" s="42"/>
      <x:c r="B181" s="42"/>
      <x:c r="C181" s="42"/>
      <x:c r="D181" s="42"/>
      <x:c r="E181" s="42"/>
      <x:c r="F181" s="42"/>
      <x:c r="G181" s="42"/>
      <x:c r="H181" s="42"/>
      <x:c r="I181" s="42"/>
      <x:c r="J181" s="42"/>
      <x:c r="K181" s="42"/>
      <x:c r="L181" s="42"/>
      <x:c r="M181" s="42"/>
    </x:row>
    <x:row r="182">
      <x:c r="A182" s="42"/>
      <x:c r="B182" s="42"/>
      <x:c r="C182" s="42"/>
      <x:c r="D182" s="42"/>
      <x:c r="E182" s="42"/>
      <x:c r="F182" s="42"/>
      <x:c r="G182" s="42"/>
      <x:c r="H182" s="42"/>
      <x:c r="I182" s="42"/>
      <x:c r="J182" s="42"/>
      <x:c r="K182" s="42"/>
      <x:c r="L182" s="42"/>
      <x:c r="M182" s="42"/>
    </x:row>
    <x:row r="183">
      <x:c r="A183" s="42"/>
      <x:c r="B183" s="42"/>
      <x:c r="C183" s="42"/>
      <x:c r="D183" s="42"/>
      <x:c r="E183" s="42"/>
      <x:c r="F183" s="42"/>
      <x:c r="G183" s="42"/>
      <x:c r="H183" s="42"/>
      <x:c r="I183" s="42"/>
      <x:c r="J183" s="42"/>
      <x:c r="K183" s="42"/>
      <x:c r="L183" s="42"/>
      <x:c r="M183" s="42"/>
    </x:row>
    <x:row r="184">
      <x:c r="A184" s="42"/>
      <x:c r="B184" s="42"/>
      <x:c r="C184" s="42"/>
      <x:c r="D184" s="42"/>
      <x:c r="E184" s="42"/>
      <x:c r="F184" s="42"/>
      <x:c r="G184" s="42"/>
      <x:c r="H184" s="42"/>
      <x:c r="I184" s="42"/>
      <x:c r="J184" s="42"/>
      <x:c r="K184" s="42"/>
      <x:c r="L184" s="42"/>
      <x:c r="M184" s="42"/>
    </x:row>
    <x:row r="185">
      <x:c r="A185" s="42"/>
      <x:c r="B185" s="42"/>
      <x:c r="C185" s="42"/>
      <x:c r="D185" s="42"/>
      <x:c r="E185" s="42"/>
      <x:c r="F185" s="42"/>
      <x:c r="G185" s="42"/>
      <x:c r="H185" s="42"/>
      <x:c r="I185" s="42"/>
      <x:c r="J185" s="42"/>
      <x:c r="K185" s="42"/>
      <x:c r="L185" s="42"/>
      <x:c r="M185" s="42"/>
    </x:row>
    <x:row r="186">
      <x:c r="A186" s="42"/>
      <x:c r="B186" s="42"/>
      <x:c r="C186" s="42"/>
      <x:c r="D186" s="42"/>
      <x:c r="E186" s="42"/>
      <x:c r="F186" s="42"/>
      <x:c r="G186" s="42"/>
      <x:c r="H186" s="42"/>
      <x:c r="I186" s="42"/>
      <x:c r="J186" s="42"/>
      <x:c r="K186" s="42"/>
      <x:c r="L186" s="42"/>
      <x:c r="M186" s="42"/>
    </x:row>
    <x:row r="187">
      <x:c r="A187" s="42"/>
      <x:c r="B187" s="42"/>
      <x:c r="C187" s="42"/>
      <x:c r="D187" s="42"/>
      <x:c r="E187" s="42"/>
      <x:c r="F187" s="42"/>
      <x:c r="G187" s="42"/>
      <x:c r="H187" s="42"/>
      <x:c r="I187" s="42"/>
      <x:c r="J187" s="42"/>
      <x:c r="K187" s="42"/>
      <x:c r="L187" s="42"/>
      <x:c r="M187" s="42"/>
    </x:row>
    <x:row r="188">
      <x:c r="A188" s="42"/>
      <x:c r="B188" s="42"/>
      <x:c r="C188" s="42"/>
      <x:c r="D188" s="42"/>
      <x:c r="E188" s="42"/>
      <x:c r="F188" s="42"/>
      <x:c r="G188" s="42"/>
      <x:c r="H188" s="42"/>
      <x:c r="I188" s="42"/>
      <x:c r="J188" s="42"/>
      <x:c r="K188" s="42"/>
      <x:c r="L188" s="42"/>
      <x:c r="M188" s="42"/>
    </x:row>
    <x:row r="189">
      <x:c r="A189" s="42"/>
      <x:c r="B189" s="42"/>
      <x:c r="C189" s="42"/>
      <x:c r="D189" s="42"/>
      <x:c r="E189" s="42"/>
      <x:c r="F189" s="42"/>
      <x:c r="G189" s="42"/>
      <x:c r="H189" s="42"/>
      <x:c r="I189" s="42"/>
      <x:c r="J189" s="42"/>
      <x:c r="K189" s="42"/>
      <x:c r="L189" s="42"/>
      <x:c r="M189" s="42"/>
    </x:row>
    <x:row r="190">
      <x:c r="A190" s="42"/>
      <x:c r="B190" s="42"/>
      <x:c r="C190" s="42"/>
      <x:c r="D190" s="42"/>
      <x:c r="E190" s="42"/>
      <x:c r="F190" s="42"/>
      <x:c r="G190" s="42"/>
      <x:c r="H190" s="42"/>
      <x:c r="I190" s="42"/>
      <x:c r="J190" s="42"/>
      <x:c r="K190" s="42"/>
      <x:c r="L190" s="42"/>
      <x:c r="M190" s="42"/>
    </x:row>
    <x:row r="191">
      <x:c r="A191" s="42"/>
      <x:c r="B191" s="42"/>
      <x:c r="C191" s="42"/>
      <x:c r="D191" s="42"/>
      <x:c r="E191" s="42"/>
      <x:c r="F191" s="42"/>
      <x:c r="G191" s="42"/>
      <x:c r="H191" s="42"/>
      <x:c r="I191" s="42"/>
      <x:c r="J191" s="42"/>
      <x:c r="K191" s="42"/>
      <x:c r="L191" s="42"/>
      <x:c r="M191" s="42"/>
    </x:row>
    <x:row r="192">
      <x:c r="A192" s="42"/>
      <x:c r="B192" s="42"/>
      <x:c r="C192" s="42"/>
      <x:c r="D192" s="42"/>
      <x:c r="E192" s="42"/>
      <x:c r="F192" s="42"/>
      <x:c r="G192" s="42"/>
      <x:c r="H192" s="42"/>
      <x:c r="I192" s="42"/>
      <x:c r="J192" s="42"/>
      <x:c r="K192" s="42"/>
      <x:c r="L192" s="42"/>
      <x:c r="M192" s="42"/>
    </x:row>
    <x:row r="193">
      <x:c r="A193" s="42"/>
      <x:c r="B193" s="42"/>
      <x:c r="C193" s="42"/>
      <x:c r="D193" s="42"/>
      <x:c r="E193" s="42"/>
      <x:c r="F193" s="42"/>
      <x:c r="G193" s="42"/>
      <x:c r="H193" s="42"/>
      <x:c r="I193" s="42"/>
      <x:c r="J193" s="42"/>
      <x:c r="K193" s="42"/>
      <x:c r="L193" s="42"/>
      <x:c r="M193" s="42"/>
    </x:row>
    <x:row r="194">
      <x:c r="A194" s="42"/>
      <x:c r="B194" s="42"/>
      <x:c r="C194" s="42"/>
      <x:c r="D194" s="42"/>
      <x:c r="E194" s="42"/>
      <x:c r="F194" s="42"/>
      <x:c r="G194" s="42"/>
      <x:c r="H194" s="42"/>
      <x:c r="I194" s="42"/>
      <x:c r="J194" s="42"/>
      <x:c r="K194" s="42"/>
      <x:c r="L194" s="42"/>
      <x:c r="M194" s="42"/>
    </x:row>
    <x:row r="195">
      <x:c r="A195" s="42"/>
      <x:c r="B195" s="42"/>
      <x:c r="C195" s="42"/>
      <x:c r="D195" s="42"/>
      <x:c r="E195" s="42"/>
      <x:c r="F195" s="42"/>
      <x:c r="G195" s="42"/>
      <x:c r="H195" s="42"/>
      <x:c r="I195" s="42"/>
      <x:c r="J195" s="42"/>
      <x:c r="K195" s="42"/>
      <x:c r="L195" s="42"/>
      <x:c r="M195" s="42"/>
    </x:row>
    <x:row r="196">
      <x:c r="A196" s="42"/>
      <x:c r="B196" s="42"/>
      <x:c r="C196" s="42"/>
      <x:c r="D196" s="42"/>
      <x:c r="E196" s="42"/>
      <x:c r="F196" s="42"/>
      <x:c r="G196" s="42"/>
      <x:c r="H196" s="42"/>
      <x:c r="I196" s="42"/>
      <x:c r="J196" s="42"/>
      <x:c r="K196" s="42"/>
      <x:c r="L196" s="42"/>
      <x:c r="M196" s="42"/>
    </x:row>
    <x:row r="197">
      <x:c r="A197" s="42"/>
      <x:c r="B197" s="42"/>
      <x:c r="C197" s="42"/>
      <x:c r="D197" s="42"/>
      <x:c r="E197" s="42"/>
      <x:c r="F197" s="42"/>
      <x:c r="G197" s="42"/>
      <x:c r="H197" s="42"/>
      <x:c r="I197" s="42"/>
      <x:c r="J197" s="42"/>
      <x:c r="K197" s="42"/>
      <x:c r="L197" s="42"/>
      <x:c r="M197" s="42"/>
    </x:row>
    <x:row r="198">
      <x:c r="A198" s="42"/>
      <x:c r="B198" s="42"/>
      <x:c r="C198" s="42"/>
      <x:c r="D198" s="42"/>
      <x:c r="E198" s="42"/>
      <x:c r="F198" s="42"/>
      <x:c r="G198" s="42"/>
      <x:c r="H198" s="42"/>
      <x:c r="I198" s="42"/>
      <x:c r="J198" s="42"/>
      <x:c r="K198" s="42"/>
      <x:c r="L198" s="42"/>
      <x:c r="M198" s="42"/>
    </x:row>
    <x:row r="199">
      <x:c r="A199" s="42"/>
      <x:c r="B199" s="42"/>
      <x:c r="C199" s="42"/>
      <x:c r="D199" s="42"/>
      <x:c r="E199" s="42"/>
      <x:c r="F199" s="42"/>
      <x:c r="G199" s="42"/>
      <x:c r="H199" s="42"/>
      <x:c r="I199" s="42"/>
      <x:c r="J199" s="42"/>
      <x:c r="K199" s="42"/>
      <x:c r="L199" s="42"/>
      <x:c r="M199" s="42"/>
    </x:row>
    <x:row r="200">
      <x:c r="A200" s="42"/>
      <x:c r="B200" s="42"/>
      <x:c r="C200" s="42"/>
      <x:c r="D200" s="42"/>
      <x:c r="E200" s="42"/>
      <x:c r="F200" s="42"/>
      <x:c r="G200" s="42"/>
      <x:c r="H200" s="42"/>
      <x:c r="I200" s="42"/>
      <x:c r="J200" s="42"/>
      <x:c r="K200" s="42"/>
      <x:c r="L200" s="42"/>
      <x:c r="M200" s="42"/>
    </x:row>
  </x:sheetData>
  <x:mergeCells>
    <x:mergeCell ref="A1:M1"/>
    <x:mergeCell ref="A2:M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.630001068115234" hidden="0" customWidth="1"/>
    <x:col min="2" max="2" width="11.880000114440918" hidden="0" customWidth="1"/>
    <x:col min="3" max="3" width="11.880000114440918" hidden="0" customWidth="1"/>
    <x:col min="4" max="4" width="11.880000114440918" hidden="0" customWidth="1"/>
    <x:col min="5" max="5" width="11.880000114440918" hidden="0" customWidth="1"/>
    <x:col min="6" max="6" width="11.880000114440918" hidden="0" customWidth="1"/>
    <x:col min="7" max="7" width="11.880000114440918" hidden="0" customWidth="1"/>
    <x:col min="8" max="8" width="11.880000114440918" hidden="0" customWidth="1"/>
    <x:col min="9" max="9" width="11.880000114440918" hidden="0" customWidth="1"/>
    <x:col min="10" max="10" width="11.880000114440918" hidden="0" customWidth="1"/>
    <x:col min="11" max="11" width="11.880000114440918" hidden="0" customWidth="1"/>
    <x:col min="12" max="12" width="11.880000114440918" hidden="0" customWidth="1"/>
    <x:col min="13" max="13" width="11.880000114440918" hidden="0" customWidth="1"/>
  </x:cols>
  <x:sheetData>
    <x:row r="1" ht="25.5" customHeight="1">
      <x:c r="A1" s="41" t="str">
        <x:v>Лист 6. Unit-экономика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</x:row>
    <x:row r="2" ht="22.5" customHeight="1">
      <x:c r="A2" s="43" t="str">
        <x:v>ARPU, LTV, CAC, payback, ROI, ROMI, churn, gross profit и net profit.</x:v>
      </x:c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</x:row>
    <x:row r="3">
      <x:c r="A3" s="42"/>
      <x:c r="B3" s="42"/>
      <x:c r="C3" s="42"/>
      <x:c r="D3" s="42"/>
      <x:c r="E3" s="42"/>
      <x:c r="F3" s="42"/>
      <x:c r="G3" s="42"/>
      <x:c r="H3" s="42"/>
      <x:c r="I3" s="42"/>
      <x:c r="J3" s="42"/>
      <x:c r="K3" s="42"/>
      <x:c r="L3" s="42"/>
      <x:c r="M3" s="42"/>
    </x:row>
    <x:row r="4">
      <x:c r="A4" s="44" t="str">
        <x:v>Показатель</x:v>
      </x:c>
      <x:c r="B4" s="44" t="str">
        <x:v>М1</x:v>
      </x:c>
      <x:c r="C4" s="44" t="str">
        <x:v>М2</x:v>
      </x:c>
      <x:c r="D4" s="44" t="str">
        <x:v>М3</x:v>
      </x:c>
      <x:c r="E4" s="44" t="str">
        <x:v>М4</x:v>
      </x:c>
      <x:c r="F4" s="44" t="str">
        <x:v>М5</x:v>
      </x:c>
      <x:c r="G4" s="44" t="str">
        <x:v>М6</x:v>
      </x:c>
      <x:c r="H4" s="44" t="str">
        <x:v>М7</x:v>
      </x:c>
      <x:c r="I4" s="44" t="str">
        <x:v>М8</x:v>
      </x:c>
      <x:c r="J4" s="44" t="str">
        <x:v>М9</x:v>
      </x:c>
      <x:c r="K4" s="44" t="str">
        <x:v>М10</x:v>
      </x:c>
      <x:c r="L4" s="44" t="str">
        <x:v>М11</x:v>
      </x:c>
      <x:c r="M4" s="44" t="str">
        <x:v>М12</x:v>
      </x:c>
    </x:row>
    <x:row r="5">
      <x:c r="A5" s="45" t="str">
        <x:v>Paying clients EOM</x:v>
      </x:c>
      <x:c r="B5" s="62" t="n">
        <x:f>'Конверсии по тарифам'!B25</x:f>
        <x:v>3</x:v>
      </x:c>
      <x:c r="C5" s="62" t="n">
        <x:f>'Конверсии по тарифам'!C25</x:f>
        <x:v>8</x:v>
      </x:c>
      <x:c r="D5" s="62" t="n">
        <x:f>'Конверсии по тарифам'!D25</x:f>
        <x:v>22</x:v>
      </x:c>
      <x:c r="E5" s="62" t="n">
        <x:f>'Конверсии по тарифам'!E25</x:f>
        <x:v>47</x:v>
      </x:c>
      <x:c r="F5" s="62" t="n">
        <x:f>'Конверсии по тарифам'!F25</x:f>
        <x:v>98</x:v>
      </x:c>
      <x:c r="G5" s="62" t="n">
        <x:f>'Конверсии по тарифам'!G25</x:f>
        <x:v>195</x:v>
      </x:c>
      <x:c r="H5" s="62" t="n">
        <x:f>'Конверсии по тарифам'!H25</x:f>
        <x:v>353</x:v>
      </x:c>
      <x:c r="I5" s="62" t="n">
        <x:f>'Конверсии по тарифам'!I25</x:f>
        <x:v>613</x:v>
      </x:c>
      <x:c r="J5" s="62" t="n">
        <x:f>'Конверсии по тарифам'!J25</x:f>
        <x:v>981</x:v>
      </x:c>
      <x:c r="K5" s="62" t="n">
        <x:f>'Конверсии по тарифам'!K25</x:f>
        <x:v>1510</x:v>
      </x:c>
      <x:c r="L5" s="62" t="n">
        <x:f>'Конверсии по тарифам'!L25</x:f>
        <x:v>2185</x:v>
      </x:c>
      <x:c r="M5" s="62" t="n">
        <x:f>'Конверсии по тарифам'!M25</x:f>
        <x:v>3013</x:v>
      </x:c>
    </x:row>
    <x:row r="6">
      <x:c r="A6" s="45" t="str">
        <x:v>New paying gross</x:v>
      </x:c>
      <x:c r="B6" s="62" t="n">
        <x:f>'Конверсии по тарифам'!B26</x:f>
        <x:v>3</x:v>
      </x:c>
      <x:c r="C6" s="62" t="n">
        <x:f>'Конверсии по тарифам'!C26</x:f>
        <x:v>5</x:v>
      </x:c>
      <x:c r="D6" s="62" t="n">
        <x:f>'Конверсии по тарифам'!D26</x:f>
        <x:v>15</x:v>
      </x:c>
      <x:c r="E6" s="62" t="n">
        <x:f>'Конверсии по тарифам'!E26</x:f>
        <x:v>28</x:v>
      </x:c>
      <x:c r="F6" s="62" t="n">
        <x:f>'Конверсии по тарифам'!F26</x:f>
        <x:v>57</x:v>
      </x:c>
      <x:c r="G6" s="62" t="n">
        <x:f>'Конверсии по тарифам'!G26</x:f>
        <x:v>109</x:v>
      </x:c>
      <x:c r="H6" s="62" t="n">
        <x:f>'Конверсии по тарифам'!H26</x:f>
        <x:v>181</x:v>
      </x:c>
      <x:c r="I6" s="62" t="n">
        <x:f>'Конверсии по тарифам'!I26</x:f>
        <x:v>299</x:v>
      </x:c>
      <x:c r="J6" s="62" t="n">
        <x:f>'Конверсии по тарифам'!J26</x:f>
        <x:v>431</x:v>
      </x:c>
      <x:c r="K6" s="62" t="n">
        <x:f>'Конверсии по тарифам'!K26</x:f>
        <x:v>629</x:v>
      </x:c>
      <x:c r="L6" s="62" t="n">
        <x:f>'Конверсии по тарифам'!L26</x:f>
        <x:v>814</x:v>
      </x:c>
      <x:c r="M6" s="62" t="n">
        <x:f>'Конверсии по тарифам'!M26</x:f>
        <x:v>1027</x:v>
      </x:c>
    </x:row>
    <x:row r="7">
      <x:c r="A7" s="45" t="str">
        <x:v>Revenue</x:v>
      </x:c>
      <x:c r="B7" s="54" t="n">
        <x:f>'Доходы'!B17</x:f>
        <x:v>397.203534</x:v>
      </x:c>
      <x:c r="C7" s="54" t="n">
        <x:f>'Доходы'!C17</x:f>
        <x:v>993.0088350000001</x:v>
      </x:c>
      <x:c r="D7" s="54" t="n">
        <x:f>'Доходы'!D17</x:f>
        <x:v>2780.424738</x:v>
      </x:c>
      <x:c r="E7" s="54" t="n">
        <x:f>'Доходы'!E17</x:f>
        <x:v>6255.955660500002</x:v>
      </x:c>
      <x:c r="F7" s="54" t="n">
        <x:f>'Доходы'!F17</x:f>
        <x:v>13504.920156000002</x:v>
      </x:c>
      <x:c r="G7" s="54" t="n">
        <x:f>'Доходы'!G17</x:f>
        <x:v>27208.442079000004</x:v>
      </x:c>
      <x:c r="H7" s="54" t="n">
        <x:f>'Доходы'!H17</x:f>
        <x:v>49749.742633500005</x:v>
      </x:c>
      <x:c r="I7" s="54" t="n">
        <x:f>'Доходы'!I17</x:f>
        <x:v>87086.8748295</x:v>
      </x:c>
      <x:c r="J7" s="54" t="n">
        <x:f>'Доходы'!J17</x:f>
        <x:v>140808.652803</x:v>
      </x:c>
      <x:c r="K7" s="54" t="n">
        <x:f>'Доходы'!K17</x:f>
        <x:v>219256.35076799997</x:v>
      </x:c>
      <x:c r="L7" s="54" t="n">
        <x:f>'Доходы'!L17</x:f>
        <x:v>322132.06607400003</x:v>
      </x:c>
      <x:c r="M7" s="54" t="n">
        <x:f>'Доходы'!M17</x:f>
        <x:v>450627.409323</x:v>
      </x:c>
    </x:row>
    <x:row r="8">
      <x:c r="A8" s="45" t="str">
        <x:v>ARPU</x:v>
      </x:c>
      <x:c r="B8" s="54" t="n">
        <x:f>IFERROR(B7/B5,0)</x:f>
        <x:v>132.401178</x:v>
      </x:c>
      <x:c r="C8" s="54" t="n">
        <x:f>IFERROR(C7/C5,0)</x:f>
        <x:v>124.12610437500001</x:v>
      </x:c>
      <x:c r="D8" s="54" t="n">
        <x:f>IFERROR(D7/D5,0)</x:f>
        <x:v>126.38294263636364</x:v>
      </x:c>
      <x:c r="E8" s="54" t="n">
        <x:f>IFERROR(E7/E5,0)</x:f>
        <x:v>133.1054395851064</x:v>
      </x:c>
      <x:c r="F8" s="54" t="n">
        <x:f>IFERROR(F7/F5,0)</x:f>
        <x:v>137.80530771428573</x:v>
      </x:c>
      <x:c r="G8" s="54" t="n">
        <x:f>IFERROR(G7/G5,0)</x:f>
        <x:v>139.53047220000002</x:v>
      </x:c>
      <x:c r="H8" s="54" t="n">
        <x:f>IFERROR(H7/H5,0)</x:f>
        <x:v>140.93411510906517</x:v>
      </x:c>
      <x:c r="I8" s="54" t="n">
        <x:f>IFERROR(I7/I5,0)</x:f>
        <x:v>142.0666799828711</x:v>
      </x:c>
      <x:c r="J8" s="54" t="n">
        <x:f>IFERROR(J7/J5,0)</x:f>
        <x:v>143.53583364220185</x:v>
      </x:c>
      <x:c r="K8" s="54" t="n">
        <x:f>IFERROR(K7/K5,0)</x:f>
        <x:v>145.20288130331124</x:v>
      </x:c>
      <x:c r="L8" s="54" t="n">
        <x:f>IFERROR(L7/L5,0)</x:f>
        <x:v>147.42886319176202</x:v>
      </x:c>
      <x:c r="M8" s="54" t="n">
        <x:f>IFERROR(M7/M5,0)</x:f>
        <x:v>149.56103860703618</x:v>
      </x:c>
    </x:row>
    <x:row r="9">
      <x:c r="A9" s="45" t="str">
        <x:v>Variable product cost</x:v>
      </x:c>
      <x:c r="B9" s="54" t="n">
        <x:f>'Расходы'!B23</x:f>
        <x:v>212.81098443000002</x:v>
      </x:c>
      <x:c r="C9" s="54" t="n">
        <x:f>'Расходы'!C23</x:f>
        <x:v>567.4814089000001</x:v>
      </x:c>
      <x:c r="D9" s="54" t="n">
        <x:f>'Расходы'!D23</x:f>
        <x:v>1429.9659322100001</x:v>
      </x:c>
      <x:c r="E9" s="54" t="n">
        <x:f>'Расходы'!E23</x:f>
        <x:v>2975.0897052850005</x:v>
      </x:c>
      <x:c r="F9" s="54" t="n">
        <x:f>'Расходы'!F23</x:f>
        <x:v>6082.786352770001</x:v>
      </x:c>
      <x:c r="G9" s="54" t="n">
        <x:f>'Расходы'!G23</x:f>
        <x:v>11735.26108473</x:v>
      </x:c>
      <x:c r="H9" s="54" t="n">
        <x:f>'Расходы'!H23</x:f>
        <x:v>20698.098739195</x:v>
      </x:c>
      <x:c r="I9" s="54" t="n">
        <x:f>'Расходы'!I23</x:f>
        <x:v>34876.12972371501</x:v>
      </x:c>
      <x:c r="J9" s="54" t="n">
        <x:f>'Расходы'!J23</x:f>
        <x:v>54413.28886356</x:v>
      </x:c>
      <x:c r="K9" s="54" t="n">
        <x:f>'Расходы'!K23</x:f>
        <x:v>81897.88657181001</x:v>
      </x:c>
      <x:c r="L9" s="54" t="n">
        <x:f>'Расходы'!L23</x:f>
        <x:v>116268.69418223001</x:v>
      </x:c>
      <x:c r="M9" s="54" t="n">
        <x:f>'Расходы'!M23</x:f>
        <x:v>157856.35452296003</x:v>
      </x:c>
    </x:row>
    <x:row r="10">
      <x:c r="A10" s="45" t="str">
        <x:v>Gross Profit</x:v>
      </x:c>
      <x:c r="B10" s="54" t="n">
        <x:f>B7-B9</x:f>
        <x:v>184.39254956999997</x:v>
      </x:c>
      <x:c r="C10" s="54" t="n">
        <x:f>C7-C9</x:f>
        <x:v>425.52742609999996</x:v>
      </x:c>
      <x:c r="D10" s="54" t="n">
        <x:f>D7-D9</x:f>
        <x:v>1350.45880579</x:v>
      </x:c>
      <x:c r="E10" s="54" t="n">
        <x:f>E7-E9</x:f>
        <x:v>3280.865955215001</x:v>
      </x:c>
      <x:c r="F10" s="54" t="n">
        <x:f>F7-F9</x:f>
        <x:v>7422.133803230001</x:v>
      </x:c>
      <x:c r="G10" s="54" t="n">
        <x:f>G7-G9</x:f>
        <x:v>15473.180994270004</x:v>
      </x:c>
      <x:c r="H10" s="54" t="n">
        <x:f>H7-H9</x:f>
        <x:v>29051.643894305005</x:v>
      </x:c>
      <x:c r="I10" s="54" t="n">
        <x:f>I7-I9</x:f>
        <x:v>52210.74510578499</x:v>
      </x:c>
      <x:c r="J10" s="54" t="n">
        <x:f>J7-J9</x:f>
        <x:v>86395.36393944</x:v>
      </x:c>
      <x:c r="K10" s="54" t="n">
        <x:f>K7-K9</x:f>
        <x:v>137358.46419618995</x:v>
      </x:c>
      <x:c r="L10" s="54" t="n">
        <x:f>L7-L9</x:f>
        <x:v>205863.37189177002</x:v>
      </x:c>
      <x:c r="M10" s="54" t="n">
        <x:f>M7-M9</x:f>
        <x:v>292771.05480004</x:v>
      </x:c>
    </x:row>
    <x:row r="11">
      <x:c r="A11" s="45" t="str">
        <x:v>Gross Margin</x:v>
      </x:c>
      <x:c r="B11" s="63" t="n">
        <x:f>IFERROR(B10/B7,0)</x:f>
        <x:v>0.4642268605042169</x:v>
      </x:c>
      <x:c r="C11" s="63" t="n">
        <x:f>IFERROR(C10/C7,0)</x:f>
        <x:v>0.42852330321915005</x:v>
      </x:c>
      <x:c r="D11" s="63" t="n">
        <x:f>IFERROR(D10/D7,0)</x:f>
        <x:v>0.485702341564334</x:v>
      </x:c>
      <x:c r="E11" s="63" t="n">
        <x:f>IFERROR(E10/E7,0)</x:f>
        <x:v>0.5244388121115265</x:v>
      </x:c>
      <x:c r="F11" s="63" t="n">
        <x:f>IFERROR(F10/F7,0)</x:f>
        <x:v>0.5495873887068096</x:v>
      </x:c>
      <x:c r="G11" s="63" t="n">
        <x:f>IFERROR(G10/G7,0)</x:f>
        <x:v>0.5686904435521687</x:v>
      </x:c>
      <x:c r="H11" s="63" t="n">
        <x:f>IFERROR(H10/H7,0)</x:f>
        <x:v>0.583955662008641</x:v>
      </x:c>
      <x:c r="I11" s="63" t="n">
        <x:f>IFERROR(I10/I7,0)</x:f>
        <x:v>0.5995248446795682</x:v>
      </x:c>
      <x:c r="J11" s="63" t="n">
        <x:f>IFERROR(J10/J7,0)</x:f>
        <x:v>0.6135657306537293</x:v>
      </x:c>
      <x:c r="K11" s="63" t="n">
        <x:f>IFERROR(K10/K7,0)</x:f>
        <x:v>0.6264742786927617</x:v>
      </x:c>
      <x:c r="L11" s="63" t="n">
        <x:f>IFERROR(L10/L7,0)</x:f>
        <x:v>0.639065133753183</x:v>
      </x:c>
      <x:c r="M11" s="63" t="n">
        <x:f>IFERROR(M10/M7,0)</x:f>
        <x:v>0.6496965092289537</x:v>
      </x:c>
    </x:row>
    <x:row r="12">
      <x:c r="A12" s="45" t="str">
        <x:v>Marketing spend</x:v>
      </x:c>
      <x:c r="B12" s="54" t="n">
        <x:f>'Расходы'!B17</x:f>
        <x:v>20000</x:v>
      </x:c>
      <x:c r="C12" s="54" t="n">
        <x:f>'Расходы'!C17</x:f>
        <x:v>35000</x:v>
      </x:c>
      <x:c r="D12" s="54" t="n">
        <x:f>'Расходы'!D17</x:f>
        <x:v>50000</x:v>
      </x:c>
      <x:c r="E12" s="54" t="n">
        <x:f>'Расходы'!E17</x:f>
        <x:v>70000</x:v>
      </x:c>
      <x:c r="F12" s="54" t="n">
        <x:f>'Расходы'!F17</x:f>
        <x:v>90000</x:v>
      </x:c>
      <x:c r="G12" s="54" t="n">
        <x:f>'Расходы'!G17</x:f>
        <x:v>110000</x:v>
      </x:c>
      <x:c r="H12" s="54" t="n">
        <x:f>'Расходы'!H17</x:f>
        <x:v>130000</x:v>
      </x:c>
      <x:c r="I12" s="54" t="n">
        <x:f>'Расходы'!I17</x:f>
        <x:v>150000</x:v>
      </x:c>
      <x:c r="J12" s="54" t="n">
        <x:f>'Расходы'!J17</x:f>
        <x:v>170000</x:v>
      </x:c>
      <x:c r="K12" s="54" t="n">
        <x:f>'Расходы'!K17</x:f>
        <x:v>190000</x:v>
      </x:c>
      <x:c r="L12" s="54" t="n">
        <x:f>'Расходы'!L17</x:f>
        <x:v>210000</x:v>
      </x:c>
      <x:c r="M12" s="54" t="n">
        <x:f>'Расходы'!M17</x:f>
        <x:v>240000</x:v>
      </x:c>
    </x:row>
    <x:row r="13">
      <x:c r="A13" s="45" t="str">
        <x:v>CAC</x:v>
      </x:c>
      <x:c r="B13" s="54" t="n">
        <x:f>IFERROR(B12/B6,0)</x:f>
        <x:v>6666.666666666667</x:v>
      </x:c>
      <x:c r="C13" s="54" t="n">
        <x:f>IFERROR(C12/C6,0)</x:f>
        <x:v>7000</x:v>
      </x:c>
      <x:c r="D13" s="54" t="n">
        <x:f>IFERROR(D12/D6,0)</x:f>
        <x:v>3333.3333333333335</x:v>
      </x:c>
      <x:c r="E13" s="54" t="n">
        <x:f>IFERROR(E12/E6,0)</x:f>
        <x:v>2500</x:v>
      </x:c>
      <x:c r="F13" s="54" t="n">
        <x:f>IFERROR(F12/F6,0)</x:f>
        <x:v>1578.9473684210527</x:v>
      </x:c>
      <x:c r="G13" s="54" t="n">
        <x:f>IFERROR(G12/G6,0)</x:f>
        <x:v>1009.1743119266055</x:v>
      </x:c>
      <x:c r="H13" s="54" t="n">
        <x:f>IFERROR(H12/H6,0)</x:f>
        <x:v>718.232044198895</x:v>
      </x:c>
      <x:c r="I13" s="54" t="n">
        <x:f>IFERROR(I12/I6,0)</x:f>
        <x:v>501.67224080267556</x:v>
      </x:c>
      <x:c r="J13" s="54" t="n">
        <x:f>IFERROR(J12/J6,0)</x:f>
        <x:v>394.43155452436196</x:v>
      </x:c>
      <x:c r="K13" s="54" t="n">
        <x:f>IFERROR(K12/K6,0)</x:f>
        <x:v>302.0667726550079</x:v>
      </x:c>
      <x:c r="L13" s="54" t="n">
        <x:f>IFERROR(L12/L6,0)</x:f>
        <x:v>257.985257985258</x:v>
      </x:c>
      <x:c r="M13" s="54" t="n">
        <x:f>IFERROR(M12/M6,0)</x:f>
        <x:v>233.69036027263874</x:v>
      </x:c>
    </x:row>
    <x:row r="14">
      <x:c r="A14" s="45" t="str">
        <x:v>Churn Rate</x:v>
      </x:c>
      <x:c r="B14" s="63" t="n">
        <x:f>'Конверсии по тарифам'!B28</x:f>
        <x:v>0</x:v>
      </x:c>
      <x:c r="C14" s="63" t="n">
        <x:f>'Конверсии по тарифам'!C28</x:f>
        <x:v>0</x:v>
      </x:c>
      <x:c r="D14" s="63" t="n">
        <x:f>'Конверсии по тарифам'!D28</x:f>
        <x:v>0.125</x:v>
      </x:c>
      <x:c r="E14" s="63" t="n">
        <x:f>'Конверсии по тарифам'!E28</x:f>
        <x:v>0.13636363636363635</x:v>
      </x:c>
      <x:c r="F14" s="63" t="n">
        <x:f>'Конверсии по тарифам'!F28</x:f>
        <x:v>0.1276595744680851</x:v>
      </x:c>
      <x:c r="G14" s="63" t="n">
        <x:f>'Конверсии по тарифам'!G28</x:f>
        <x:v>0.12244897959183673</x:v>
      </x:c>
      <x:c r="H14" s="63" t="n">
        <x:f>'Конверсии по тарифам'!H28</x:f>
        <x:v>0.11282051282051282</x:v>
      </x:c>
      <x:c r="I14" s="63" t="n">
        <x:f>'Конверсии по тарифам'!I28</x:f>
        <x:v>0.10764872521246459</x:v>
      </x:c>
      <x:c r="J14" s="63" t="n">
        <x:f>'Конверсии по тарифам'!J28</x:f>
        <x:v>0.10277324632952692</x:v>
      </x:c>
      <x:c r="K14" s="63" t="n">
        <x:f>'Конверсии по тарифам'!K28</x:f>
        <x:v>0.1019367991845056</x:v>
      </x:c>
      <x:c r="L14" s="63" t="n">
        <x:f>'Конверсии по тарифам'!L28</x:f>
        <x:v>0.0913907284768212</x:v>
      </x:c>
      <x:c r="M14" s="63" t="n">
        <x:f>'Конверсии по тарифам'!M28</x:f>
        <x:v>0.09153318077803203</x:v>
      </x:c>
    </x:row>
    <x:row r="15">
      <x:c r="A15" s="45" t="str">
        <x:v>LTV</x:v>
      </x:c>
      <x:c r="B15" s="54" t="n">
        <x:f>IFERROR(B8*B11/B14,0)</x:f>
        <x:v>0</x:v>
      </x:c>
      <x:c r="C15" s="54" t="n">
        <x:f>IFERROR(C8*C11/C14,0)</x:f>
        <x:v>0</x:v>
      </x:c>
      <x:c r="D15" s="54" t="n">
        <x:f>IFERROR(D8*D11/D14,0)</x:f>
        <x:v>491.0759293781818</x:v>
      </x:c>
      <x:c r="E15" s="54" t="n">
        <x:f>IFERROR(E8*E11/E14,0)</x:f>
        <x:v>511.90816322503565</x:v>
      </x:c>
      <x:c r="F15" s="54" t="n">
        <x:f>IFERROR(F8*F11/F14,0)</x:f>
        <x:v>593.2657971969559</x:v>
      </x:c>
      <x:c r="G15" s="54" t="n">
        <x:f>IFERROR(G8*G11/G14,0)</x:f>
        <x:v>648.022110016436</x:v>
      </x:c>
      <x:c r="H15" s="54" t="n">
        <x:f>IFERROR(H8*H11/H14,0)</x:f>
        <x:v>729.4708420537569</x:v>
      </x:c>
      <x:c r="I15" s="54" t="n">
        <x:f>IFERROR(I8*I11/I14,0)</x:f>
        <x:v>791.2077368567914</x:v>
      </x:c>
      <x:c r="J15" s="54" t="n">
        <x:f>IFERROR(J8*J11/J14,0)</x:f>
        <x:v>856.9221250566594</x:v>
      </x:c>
      <x:c r="K15" s="54" t="n">
        <x:f>IFERROR(K8*K11/K14,0)</x:f>
        <x:v>892.3751879235916</x:v>
      </x:c>
      <x:c r="L15" s="54" t="n">
        <x:f>IFERROR(L8*L11/L14,0)</x:f>
        <x:v>1030.9212733611007</x:v>
      </x:c>
      <x:c r="M15" s="54" t="n">
        <x:f>IFERROR(M8*M11/M14,0)</x:f>
        <x:v>1061.5744353436564</x:v>
      </x:c>
    </x:row>
    <x:row r="16">
      <x:c r="A16" s="45" t="str">
        <x:v>LTV/CAC</x:v>
      </x:c>
      <x:c r="B16" s="64" t="n">
        <x:f>IFERROR(B15/B13,0)</x:f>
        <x:v>0</x:v>
      </x:c>
      <x:c r="C16" s="64" t="n">
        <x:f>IFERROR(C15/C13,0)</x:f>
        <x:v>0</x:v>
      </x:c>
      <x:c r="D16" s="64" t="n">
        <x:f>IFERROR(D15/D13,0)</x:f>
        <x:v>0.14732277881345454</x:v>
      </x:c>
      <x:c r="E16" s="64" t="n">
        <x:f>IFERROR(E15/E13,0)</x:f>
        <x:v>0.20476326529001426</x:v>
      </x:c>
      <x:c r="F16" s="64" t="n">
        <x:f>IFERROR(F15/F13,0)</x:f>
        <x:v>0.3757350048914054</x:v>
      </x:c>
      <x:c r="G16" s="64" t="n">
        <x:f>IFERROR(G15/G13,0)</x:f>
        <x:v>0.6421309999253776</x:v>
      </x:c>
      <x:c r="H16" s="64" t="n">
        <x:f>IFERROR(H15/H13,0)</x:f>
        <x:v>1.0156478647056155</x:v>
      </x:c>
      <x:c r="I16" s="64" t="n">
        <x:f>IFERROR(I15/I13,0)</x:f>
        <x:v>1.577140755467871</x:v>
      </x:c>
      <x:c r="J16" s="64" t="n">
        <x:f>IFERROR(J15/J13,0)</x:f>
        <x:v>2.172549622937766</x:v>
      </x:c>
      <x:c r="K16" s="64" t="n">
        <x:f>IFERROR(K15/K13,0)</x:f>
        <x:v>2.9542315431786275</x:v>
      </x:c>
      <x:c r="L16" s="64" t="n">
        <x:f>IFERROR(L15/L13,0)</x:f>
        <x:v>3.996047221504457</x:v>
      </x:c>
      <x:c r="M16" s="64" t="n">
        <x:f>IFERROR(M15/M13,0)</x:f>
        <x:v>4.542653937908064</x:v>
      </x:c>
    </x:row>
    <x:row r="17">
      <x:c r="A17" s="45" t="str">
        <x:v>Payback Period, мес.</x:v>
      </x:c>
      <x:c r="B17" s="64" t="n">
        <x:f>IFERROR(B13/(B8*B11),0)</x:f>
        <x:v>108.46425219803965</x:v>
      </x:c>
      <x:c r="C17" s="64" t="n">
        <x:f>IFERROR(C13/(C8*C11),0)</x:f>
        <x:v>131.60138821895788</x:v>
      </x:c>
      <x:c r="D17" s="64" t="n">
        <x:f>IFERROR(D13/(D8*D11),0)</x:f>
        <x:v>54.30253260515735</x:v>
      </x:c>
      <x:c r="E17" s="64" t="n">
        <x:f>IFERROR(E13/(E8*E11),0)</x:f>
        <x:v>35.81371552630227</x:v>
      </x:c>
      <x:c r="F17" s="64" t="n">
        <x:f>IFERROR(F13/(F8*F11),0)</x:f>
        <x:v>20.848026485041814</x:v>
      </x:c>
      <x:c r="G17" s="64" t="n">
        <x:f>IFERROR(G13/(G8*G11),0)</x:f>
        <x:v>12.718069471207153</x:v>
      </x:c>
      <x:c r="H17" s="64" t="n">
        <x:f>IFERROR(H13/(H8*H11),0)</x:f>
        <x:v>8.727076255120647</x:v>
      </x:c>
      <x:c r="I17" s="64" t="n">
        <x:f>IFERROR(I13/(I8*I11),0)</x:f>
        <x:v>5.89007268501836</x:v>
      </x:c>
      <x:c r="J17" s="64" t="n">
        <x:f>IFERROR(J13/(J8*J11),0)</x:f>
        <x:v>4.478681926262016</x:v>
      </x:c>
      <x:c r="K17" s="64" t="n">
        <x:f>IFERROR(K13/(K8*K11),0)</x:f>
        <x:v>3.3206605022722284</x:v>
      </x:c>
      <x:c r="L17" s="64" t="n">
        <x:f>IFERROR(L13/(L8*L11),0)</x:f>
        <x:v>2.73821313387476</x:v>
      </x:c>
      <x:c r="M17" s="64" t="n">
        <x:f>IFERROR(M13/(M8*M11),0)</x:f>
        <x:v>2.4049817902331934</x:v>
      </x:c>
    </x:row>
    <x:row r="18">
      <x:c r="A18" s="45" t="str">
        <x:v>ROI</x:v>
      </x:c>
      <x:c r="B18" s="63" t="n">
        <x:f>IFERROR('Прогноз прибыли'!B10/'Расходы'!B25,0)</x:f>
        <x:v>-0.9942589564163121</x:v>
      </x:c>
      <x:c r="C18" s="63" t="n">
        <x:f>IFERROR('Прогноз прибыли'!C10/'Расходы'!C25,0)</x:f>
        <x:v>-0.9891731285978127</x:v>
      </x:c>
      <x:c r="D18" s="63" t="n">
        <x:f>IFERROR('Прогноз прибыли'!D10/'Расходы'!D25,0)</x:f>
        <x:v>-0.9760094761553132</x:v>
      </x:c>
      <x:c r="E18" s="63" t="n">
        <x:f>IFERROR('Прогноз прибыли'!E10/'Расходы'!E25,0)</x:f>
        <x:v>-0.9587066851449929</x:v>
      </x:c>
      <x:c r="F18" s="63" t="n">
        <x:f>IFERROR('Прогноз прибыли'!F10/'Расходы'!F25,0)</x:f>
        <x:v>-0.927155209664746</x:v>
      </x:c>
      <x:c r="G18" s="63" t="n">
        <x:f>IFERROR('Прогноз прибыли'!G10/'Расходы'!G25,0)</x:f>
        <x:v>-0.8799898112711325</x:v>
      </x:c>
      <x:c r="H18" s="63" t="n">
        <x:f>IFERROR('Прогноз прибыли'!H10/'Расходы'!H25,0)</x:f>
        <x:v>-0.815216829877547</x:v>
      </x:c>
      <x:c r="I18" s="63" t="n">
        <x:f>IFERROR('Прогноз прибыли'!I10/'Расходы'!I25,0)</x:f>
        <x:v>-0.727727030229644</x:v>
      </x:c>
      <x:c r="J18" s="63" t="n">
        <x:f>IFERROR('Прогноз прибыли'!J10/'Расходы'!J25,0)</x:f>
        <x:v>-0.6243217268355751</x:v>
      </x:c>
      <x:c r="K18" s="63" t="n">
        <x:f>IFERROR('Прогноз прибыли'!K10/'Расходы'!K25,0)</x:f>
        <x:v>-0.49850248841317624</x:v>
      </x:c>
      <x:c r="L18" s="63" t="n">
        <x:f>IFERROR('Прогноз прибыли'!L10/'Расходы'!L25,0)</x:f>
        <x:v>-0.3683023779140958</x:v>
      </x:c>
      <x:c r="M18" s="63" t="n">
        <x:f>IFERROR('Прогноз прибыли'!M10/'Расходы'!M25,0)</x:f>
        <x:v>-0.2577915453268171</x:v>
      </x:c>
    </x:row>
    <x:row r="19">
      <x:c r="A19" s="45" t="str">
        <x:v>ROMI</x:v>
      </x:c>
      <x:c r="B19" s="63" t="n">
        <x:f>IFERROR((B10-B12)/B12,0)</x:f>
        <x:v>-0.9907803725215001</x:v>
      </x:c>
      <x:c r="C19" s="63" t="n">
        <x:f>IFERROR((C10-C12)/C12,0)</x:f>
        <x:v>-0.98784207354</x:v>
      </x:c>
      <x:c r="D19" s="63" t="n">
        <x:f>IFERROR((D10-D12)/D12,0)</x:f>
        <x:v>-0.9729908238842001</x:v>
      </x:c>
      <x:c r="E19" s="63" t="n">
        <x:f>IFERROR((E10-E12)/E12,0)</x:f>
        <x:v>-0.9531304863540714</x:v>
      </x:c>
      <x:c r="F19" s="63" t="n">
        <x:f>IFERROR((F10-F12)/F12,0)</x:f>
        <x:v>-0.9175318466307778</x:v>
      </x:c>
      <x:c r="G19" s="63" t="n">
        <x:f>IFERROR((G10-G12)/G12,0)</x:f>
        <x:v>-0.8593347182339091</x:v>
      </x:c>
      <x:c r="H19" s="63" t="n">
        <x:f>IFERROR((H10-H12)/H12,0)</x:f>
        <x:v>-0.7765258161976538</x:v>
      </x:c>
      <x:c r="I19" s="63" t="n">
        <x:f>IFERROR((I10-I12)/I12,0)</x:f>
        <x:v>-0.6519283659614333</x:v>
      </x:c>
      <x:c r="J19" s="63" t="n">
        <x:f>IFERROR((J10-J12)/J12,0)</x:f>
        <x:v>-0.4917919768268236</x:v>
      </x:c>
      <x:c r="K19" s="63" t="n">
        <x:f>IFERROR((K10-K12)/K12,0)</x:f>
        <x:v>-0.27706071475689503</x:v>
      </x:c>
      <x:c r="L19" s="63" t="n">
        <x:f>IFERROR((L10-L12)/L12,0)</x:f>
        <x:v>-0.019698229086809443</x:v>
      </x:c>
      <x:c r="M19" s="63" t="n">
        <x:f>IFERROR((M10-M12)/M12,0)</x:f>
        <x:v>0.21987939500016654</x:v>
      </x:c>
    </x:row>
    <x:row r="20">
      <x:c r="A20" s="45" t="str">
        <x:v>EBITDA</x:v>
      </x:c>
      <x:c r="B20" s="54" t="n">
        <x:f>'Прогноз прибыли'!B8</x:f>
        <x:v>-68741.77523839001</x:v>
      </x:c>
      <x:c r="C20" s="54" t="n">
        <x:f>'Прогноз прибыли'!C8</x:f>
        <x:v>-90604.8920438</x:v>
      </x:c>
      <x:c r="D20" s="54" t="n">
        <x:f>'Прогноз прибыли'!D8</x:f>
        <x:v>-112782.71570993001</x:v>
      </x:c>
      <x:c r="E20" s="54" t="n">
        <x:f>'Прогноз прибыли'!E8</x:f>
        <x:v>-144493.776705155</x:v>
      </x:c>
      <x:c r="F20" s="54" t="n">
        <x:f>'Прогноз прибыли'!F8</x:f>
        <x:v>-170267.57098741</x:v>
      </x:c>
      <x:c r="G20" s="54" t="n">
        <x:f>'Прогноз прибыли'!G8</x:f>
        <x:v>-196244.31248099002</x:v>
      </x:c>
      <x:c r="H20" s="54" t="n">
        <x:f>'Прогноз прибыли'!H8</x:f>
        <x:v>-213513.37154768498</x:v>
      </x:c>
      <x:c r="I20" s="54" t="n">
        <x:f>'Прогноз прибыли'!I8</x:f>
        <x:v>-222314.04240444503</x:v>
      </x:c>
      <x:c r="J20" s="54" t="n">
        <x:f>'Прогноз прибыли'!J8</x:f>
        <x:v>-217106.11689238</x:v>
      </x:c>
      <x:c r="K20" s="54" t="n">
        <x:f>'Прогноз прибыли'!K8</x:f>
        <x:v>-191636.15475773005</x:v>
      </x:c>
      <x:c r="L20" s="54" t="n">
        <x:f>'Прогноз прибыли'!L8</x:f>
        <x:v>-149158.70414378998</x:v>
      </x:c>
      <x:c r="M20" s="54" t="n">
        <x:f>'Прогноз прибыли'!M8</x:f>
        <x:v>-102441.30064058003</x:v>
      </x:c>
    </x:row>
    <x:row r="21">
      <x:c r="A21" s="45" t="str">
        <x:v>Net Profit</x:v>
      </x:c>
      <x:c r="B21" s="54" t="n">
        <x:f>'Прогноз прибыли'!B10</x:f>
        <x:v>-68789.43966246999</x:v>
      </x:c>
      <x:c r="C21" s="54" t="n">
        <x:f>'Прогноз прибыли'!C10</x:f>
        <x:v>-90724.05310399999</x:v>
      </x:c>
      <x:c r="D21" s="54" t="n">
        <x:f>'Прогноз прибыли'!D10</x:f>
        <x:v>-113116.36667849</x:v>
      </x:c>
      <x:c r="E21" s="54" t="n">
        <x:f>'Прогноз прибыли'!E10</x:f>
        <x:v>-145244.49138441499</x:v>
      </x:c>
      <x:c r="F21" s="54" t="n">
        <x:f>'Прогноз прибыли'!F10</x:f>
        <x:v>-171888.16140612998</x:v>
      </x:c>
      <x:c r="G21" s="54" t="n">
        <x:f>'Прогноз прибыли'!G10</x:f>
        <x:v>-199509.32553046997</x:v>
      </x:c>
      <x:c r="H21" s="54" t="n">
        <x:f>'Прогноз прибыли'!H10</x:f>
        <x:v>-219483.34066370502</x:v>
      </x:c>
      <x:c r="I21" s="54" t="n">
        <x:f>'Прогноз прибыли'!I10</x:f>
        <x:v>-232764.46738398506</x:v>
      </x:c>
      <x:c r="J21" s="54" t="n">
        <x:f>'Прогноз прибыли'!J10</x:f>
        <x:v>-234003.15522873995</x:v>
      </x:c>
      <x:c r="K21" s="54" t="n">
        <x:f>'Прогноз прибыли'!K10</x:f>
        <x:v>-217946.91684989</x:v>
      </x:c>
      <x:c r="L21" s="54" t="n">
        <x:f>'Прогноз прибыли'!L10</x:f>
        <x:v>-187814.55207266996</x:v>
      </x:c>
      <x:c r="M21" s="54" t="n">
        <x:f>'Прогноз прибыли'!M10</x:f>
        <x:v>-156516.58975934004</x:v>
      </x:c>
    </x:row>
    <x:row r="22">
      <x:c r="A22" s="42"/>
      <x:c r="B22" s="42"/>
      <x:c r="C22" s="42"/>
      <x:c r="D22" s="42"/>
      <x:c r="E22" s="42"/>
      <x:c r="F22" s="42"/>
      <x:c r="G22" s="42"/>
      <x:c r="H22" s="42"/>
      <x:c r="I22" s="42"/>
      <x:c r="J22" s="42"/>
      <x:c r="K22" s="42"/>
      <x:c r="L22" s="42"/>
      <x:c r="M22" s="42"/>
    </x:row>
    <x:row r="23">
      <x:c r="A23" s="42"/>
      <x:c r="B23" s="42"/>
      <x:c r="C23" s="42"/>
      <x:c r="D23" s="42"/>
      <x:c r="E23" s="42"/>
      <x:c r="F23" s="42"/>
      <x:c r="G23" s="42"/>
      <x:c r="H23" s="42"/>
      <x:c r="I23" s="42"/>
      <x:c r="J23" s="42"/>
      <x:c r="K23" s="42"/>
      <x:c r="L23" s="42"/>
      <x:c r="M23" s="42"/>
    </x:row>
    <x:row r="24">
      <x:c r="A24" s="42"/>
      <x:c r="B24" s="42"/>
      <x:c r="C24" s="42"/>
      <x:c r="D24" s="42"/>
      <x:c r="E24" s="42"/>
      <x:c r="F24" s="42"/>
      <x:c r="G24" s="42"/>
      <x:c r="H24" s="42"/>
      <x:c r="I24" s="42"/>
      <x:c r="J24" s="42"/>
      <x:c r="K24" s="42"/>
      <x:c r="L24" s="42"/>
      <x:c r="M24" s="42"/>
    </x:row>
    <x:row r="25">
      <x:c r="A25" s="42"/>
      <x:c r="B25" s="42"/>
      <x:c r="C25" s="42"/>
      <x:c r="D25" s="42"/>
      <x:c r="E25" s="42"/>
      <x:c r="F25" s="42"/>
      <x:c r="G25" s="42"/>
      <x:c r="H25" s="42"/>
      <x:c r="I25" s="42"/>
      <x:c r="J25" s="42"/>
      <x:c r="K25" s="42"/>
      <x:c r="L25" s="42"/>
      <x:c r="M25" s="42"/>
    </x:row>
    <x:row r="26">
      <x:c r="A26" s="42"/>
      <x:c r="B26" s="42"/>
      <x:c r="C26" s="42"/>
      <x:c r="D26" s="42"/>
      <x:c r="E26" s="42"/>
      <x:c r="F26" s="42"/>
      <x:c r="G26" s="42"/>
      <x:c r="H26" s="42"/>
      <x:c r="I26" s="42"/>
      <x:c r="J26" s="42"/>
      <x:c r="K26" s="42"/>
      <x:c r="L26" s="42"/>
      <x:c r="M26" s="42"/>
    </x:row>
    <x:row r="27">
      <x:c r="A27" s="42"/>
      <x:c r="B27" s="42"/>
      <x:c r="C27" s="42"/>
      <x:c r="D27" s="42"/>
      <x:c r="E27" s="42"/>
      <x:c r="F27" s="42"/>
      <x:c r="G27" s="42"/>
      <x:c r="H27" s="42"/>
      <x:c r="I27" s="42"/>
      <x:c r="J27" s="42"/>
      <x:c r="K27" s="42"/>
      <x:c r="L27" s="42"/>
      <x:c r="M27" s="42"/>
    </x:row>
    <x:row r="28">
      <x:c r="A28" s="42"/>
      <x:c r="B28" s="42"/>
      <x:c r="C28" s="42"/>
      <x:c r="D28" s="42"/>
      <x:c r="E28" s="42"/>
      <x:c r="F28" s="42"/>
      <x:c r="G28" s="42"/>
      <x:c r="H28" s="42"/>
      <x:c r="I28" s="42"/>
      <x:c r="J28" s="42"/>
      <x:c r="K28" s="42"/>
      <x:c r="L28" s="42"/>
      <x:c r="M28" s="42"/>
    </x:row>
    <x:row r="29">
      <x:c r="A29" s="42"/>
      <x:c r="B29" s="42"/>
      <x:c r="C29" s="42"/>
      <x:c r="D29" s="42"/>
      <x:c r="E29" s="42"/>
      <x:c r="F29" s="42"/>
      <x:c r="G29" s="42"/>
      <x:c r="H29" s="42"/>
      <x:c r="I29" s="42"/>
      <x:c r="J29" s="42"/>
      <x:c r="K29" s="42"/>
      <x:c r="L29" s="42"/>
      <x:c r="M29" s="42"/>
    </x:row>
    <x:row r="30">
      <x:c r="A30" s="42"/>
      <x:c r="B30" s="42"/>
      <x:c r="C30" s="42"/>
      <x:c r="D30" s="42"/>
      <x:c r="E30" s="42"/>
      <x:c r="F30" s="42"/>
      <x:c r="G30" s="42"/>
      <x:c r="H30" s="42"/>
      <x:c r="I30" s="42"/>
      <x:c r="J30" s="42"/>
      <x:c r="K30" s="42"/>
      <x:c r="L30" s="42"/>
      <x:c r="M30" s="42"/>
    </x:row>
    <x:row r="31">
      <x:c r="A31" s="42"/>
      <x:c r="B31" s="42"/>
      <x:c r="C31" s="42"/>
      <x:c r="D31" s="42"/>
      <x:c r="E31" s="42"/>
      <x:c r="F31" s="42"/>
      <x:c r="G31" s="42"/>
      <x:c r="H31" s="42"/>
      <x:c r="I31" s="42"/>
      <x:c r="J31" s="42"/>
      <x:c r="K31" s="42"/>
      <x:c r="L31" s="42"/>
      <x:c r="M31" s="42"/>
    </x:row>
    <x:row r="32">
      <x:c r="A32" s="42"/>
      <x:c r="B32" s="42"/>
      <x:c r="C32" s="42"/>
      <x:c r="D32" s="42"/>
      <x:c r="E32" s="42"/>
      <x:c r="F32" s="42"/>
      <x:c r="G32" s="42"/>
      <x:c r="H32" s="42"/>
      <x:c r="I32" s="42"/>
      <x:c r="J32" s="42"/>
      <x:c r="K32" s="42"/>
      <x:c r="L32" s="42"/>
      <x:c r="M32" s="42"/>
    </x:row>
    <x:row r="33">
      <x:c r="A33" s="42"/>
      <x:c r="B33" s="42"/>
      <x:c r="C33" s="42"/>
      <x:c r="D33" s="42"/>
      <x:c r="E33" s="42"/>
      <x:c r="F33" s="42"/>
      <x:c r="G33" s="42"/>
      <x:c r="H33" s="42"/>
      <x:c r="I33" s="42"/>
      <x:c r="J33" s="42"/>
      <x:c r="K33" s="42"/>
      <x:c r="L33" s="42"/>
      <x:c r="M33" s="42"/>
    </x:row>
    <x:row r="34">
      <x:c r="A34" s="42"/>
      <x:c r="B34" s="42"/>
      <x:c r="C34" s="42"/>
      <x:c r="D34" s="42"/>
      <x:c r="E34" s="42"/>
      <x:c r="F34" s="42"/>
      <x:c r="G34" s="42"/>
      <x:c r="H34" s="42"/>
      <x:c r="I34" s="42"/>
      <x:c r="J34" s="42"/>
      <x:c r="K34" s="42"/>
      <x:c r="L34" s="42"/>
      <x:c r="M34" s="42"/>
    </x:row>
    <x:row r="35">
      <x:c r="A35" s="42"/>
      <x:c r="B35" s="42"/>
      <x:c r="C35" s="42"/>
      <x:c r="D35" s="42"/>
      <x:c r="E35" s="42"/>
      <x:c r="F35" s="42"/>
      <x:c r="G35" s="42"/>
      <x:c r="H35" s="42"/>
      <x:c r="I35" s="42"/>
      <x:c r="J35" s="42"/>
      <x:c r="K35" s="42"/>
      <x:c r="L35" s="42"/>
      <x:c r="M35" s="42"/>
    </x:row>
    <x:row r="36">
      <x:c r="A36" s="42"/>
      <x:c r="B36" s="42"/>
      <x:c r="C36" s="42"/>
      <x:c r="D36" s="42"/>
      <x:c r="E36" s="42"/>
      <x:c r="F36" s="42"/>
      <x:c r="G36" s="42"/>
      <x:c r="H36" s="42"/>
      <x:c r="I36" s="42"/>
      <x:c r="J36" s="42"/>
      <x:c r="K36" s="42"/>
      <x:c r="L36" s="42"/>
      <x:c r="M36" s="42"/>
    </x:row>
    <x:row r="37">
      <x:c r="A37" s="42"/>
      <x:c r="B37" s="42"/>
      <x:c r="C37" s="42"/>
      <x:c r="D37" s="42"/>
      <x:c r="E37" s="42"/>
      <x:c r="F37" s="42"/>
      <x:c r="G37" s="42"/>
      <x:c r="H37" s="42"/>
      <x:c r="I37" s="42"/>
      <x:c r="J37" s="42"/>
      <x:c r="K37" s="42"/>
      <x:c r="L37" s="42"/>
      <x:c r="M37" s="42"/>
    </x:row>
    <x:row r="38">
      <x:c r="A38" s="42"/>
      <x:c r="B38" s="42"/>
      <x:c r="C38" s="42"/>
      <x:c r="D38" s="42"/>
      <x:c r="E38" s="42"/>
      <x:c r="F38" s="42"/>
      <x:c r="G38" s="42"/>
      <x:c r="H38" s="42"/>
      <x:c r="I38" s="42"/>
      <x:c r="J38" s="42"/>
      <x:c r="K38" s="42"/>
      <x:c r="L38" s="42"/>
      <x:c r="M38" s="42"/>
    </x:row>
    <x:row r="39">
      <x:c r="A39" s="42"/>
      <x:c r="B39" s="42"/>
      <x:c r="C39" s="42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</x:row>
    <x:row r="40">
      <x:c r="A40" s="42"/>
      <x:c r="B40" s="42"/>
      <x:c r="C40" s="42"/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</x:row>
    <x:row r="41">
      <x:c r="A41" s="42"/>
      <x:c r="B41" s="42"/>
      <x:c r="C41" s="42"/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</x:row>
    <x:row r="42">
      <x:c r="A42" s="42"/>
      <x:c r="B42" s="42"/>
      <x:c r="C42" s="42"/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</x:row>
    <x:row r="43">
      <x:c r="A43" s="42"/>
      <x:c r="B43" s="42"/>
      <x:c r="C43" s="42"/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</x:row>
    <x:row r="44">
      <x:c r="A44" s="42"/>
      <x:c r="B44" s="42"/>
      <x:c r="C44" s="42"/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</x:row>
    <x:row r="45">
      <x:c r="A45" s="42"/>
      <x:c r="B45" s="42"/>
      <x:c r="C45" s="42"/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</x:row>
    <x:row r="46">
      <x:c r="A46" s="42"/>
      <x:c r="B46" s="42"/>
      <x:c r="C46" s="42"/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</x:row>
    <x:row r="47">
      <x:c r="A47" s="42"/>
      <x:c r="B47" s="42"/>
      <x:c r="C47" s="42"/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</x:row>
    <x:row r="48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</x:row>
    <x:row r="49">
      <x:c r="A49" s="42"/>
      <x:c r="B49" s="42"/>
      <x:c r="C49" s="42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</x:row>
    <x:row r="50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</x:row>
    <x:row r="51">
      <x:c r="A51" s="42"/>
      <x:c r="B51" s="42"/>
      <x:c r="C51" s="42"/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</x:row>
    <x:row r="52">
      <x:c r="A52" s="42"/>
      <x:c r="B52" s="42"/>
      <x:c r="C52" s="42"/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</x:row>
    <x:row r="53">
      <x:c r="A53" s="42"/>
      <x:c r="B53" s="42"/>
      <x:c r="C53" s="42"/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</x:row>
    <x:row r="54">
      <x:c r="A54" s="42"/>
      <x:c r="B54" s="42"/>
      <x:c r="C54" s="42"/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</x:row>
    <x:row r="55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</x:row>
    <x:row r="56">
      <x:c r="A56" s="42"/>
      <x:c r="B56" s="42"/>
      <x:c r="C56" s="42"/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</x:row>
    <x:row r="57">
      <x:c r="A57" s="42"/>
      <x:c r="B57" s="42"/>
      <x:c r="C57" s="42"/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</x:row>
    <x:row r="58">
      <x:c r="A58" s="42"/>
      <x:c r="B58" s="42"/>
      <x:c r="C58" s="42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</x:row>
    <x:row r="59">
      <x:c r="A59" s="42"/>
      <x:c r="B59" s="42"/>
      <x:c r="C59" s="42"/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</x:row>
    <x:row r="60">
      <x:c r="A60" s="42"/>
      <x:c r="B60" s="42"/>
      <x:c r="C60" s="42"/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</x:row>
    <x:row r="61">
      <x:c r="A61" s="42"/>
      <x:c r="B61" s="42"/>
      <x:c r="C61" s="42"/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</x:row>
    <x:row r="62">
      <x:c r="A62" s="42"/>
      <x:c r="B62" s="42"/>
      <x:c r="C62" s="42"/>
      <x:c r="D62" s="42"/>
      <x:c r="E62" s="42"/>
      <x:c r="F62" s="42"/>
      <x:c r="G62" s="42"/>
      <x:c r="H62" s="42"/>
      <x:c r="I62" s="42"/>
      <x:c r="J62" s="42"/>
      <x:c r="K62" s="42"/>
      <x:c r="L62" s="42"/>
      <x:c r="M62" s="42"/>
    </x:row>
    <x:row r="63">
      <x:c r="A63" s="42"/>
      <x:c r="B63" s="42"/>
      <x:c r="C63" s="42"/>
      <x:c r="D63" s="42"/>
      <x:c r="E63" s="42"/>
      <x:c r="F63" s="42"/>
      <x:c r="G63" s="42"/>
      <x:c r="H63" s="42"/>
      <x:c r="I63" s="42"/>
      <x:c r="J63" s="42"/>
      <x:c r="K63" s="42"/>
      <x:c r="L63" s="42"/>
      <x:c r="M63" s="42"/>
    </x:row>
    <x:row r="64">
      <x:c r="A64" s="42"/>
      <x:c r="B64" s="42"/>
      <x:c r="C64" s="42"/>
      <x:c r="D64" s="42"/>
      <x:c r="E64" s="42"/>
      <x:c r="F64" s="42"/>
      <x:c r="G64" s="42"/>
      <x:c r="H64" s="42"/>
      <x:c r="I64" s="42"/>
      <x:c r="J64" s="42"/>
      <x:c r="K64" s="42"/>
      <x:c r="L64" s="42"/>
      <x:c r="M64" s="42"/>
    </x:row>
    <x:row r="65">
      <x:c r="A65" s="42"/>
      <x:c r="B65" s="42"/>
      <x:c r="C65" s="42"/>
      <x:c r="D65" s="42"/>
      <x:c r="E65" s="42"/>
      <x:c r="F65" s="42"/>
      <x:c r="G65" s="42"/>
      <x:c r="H65" s="42"/>
      <x:c r="I65" s="42"/>
      <x:c r="J65" s="42"/>
      <x:c r="K65" s="42"/>
      <x:c r="L65" s="42"/>
      <x:c r="M65" s="42"/>
    </x:row>
    <x:row r="66">
      <x:c r="A66" s="42"/>
      <x:c r="B66" s="42"/>
      <x:c r="C66" s="42"/>
      <x:c r="D66" s="42"/>
      <x:c r="E66" s="42"/>
      <x:c r="F66" s="42"/>
      <x:c r="G66" s="42"/>
      <x:c r="H66" s="42"/>
      <x:c r="I66" s="42"/>
      <x:c r="J66" s="42"/>
      <x:c r="K66" s="42"/>
      <x:c r="L66" s="42"/>
      <x:c r="M66" s="42"/>
    </x:row>
    <x:row r="67">
      <x:c r="A67" s="42"/>
      <x:c r="B67" s="42"/>
      <x:c r="C67" s="42"/>
      <x:c r="D67" s="42"/>
      <x:c r="E67" s="42"/>
      <x:c r="F67" s="42"/>
      <x:c r="G67" s="42"/>
      <x:c r="H67" s="42"/>
      <x:c r="I67" s="42"/>
      <x:c r="J67" s="42"/>
      <x:c r="K67" s="42"/>
      <x:c r="L67" s="42"/>
      <x:c r="M67" s="42"/>
    </x:row>
    <x:row r="68">
      <x:c r="A68" s="42"/>
      <x:c r="B68" s="42"/>
      <x:c r="C68" s="42"/>
      <x:c r="D68" s="42"/>
      <x:c r="E68" s="42"/>
      <x:c r="F68" s="42"/>
      <x:c r="G68" s="42"/>
      <x:c r="H68" s="42"/>
      <x:c r="I68" s="42"/>
      <x:c r="J68" s="42"/>
      <x:c r="K68" s="42"/>
      <x:c r="L68" s="42"/>
      <x:c r="M68" s="42"/>
    </x:row>
    <x:row r="69">
      <x:c r="A69" s="42"/>
      <x:c r="B69" s="42"/>
      <x:c r="C69" s="42"/>
      <x:c r="D69" s="42"/>
      <x:c r="E69" s="42"/>
      <x:c r="F69" s="42"/>
      <x:c r="G69" s="42"/>
      <x:c r="H69" s="42"/>
      <x:c r="I69" s="42"/>
      <x:c r="J69" s="42"/>
      <x:c r="K69" s="42"/>
      <x:c r="L69" s="42"/>
      <x:c r="M69" s="42"/>
    </x:row>
    <x:row r="70">
      <x:c r="A70" s="42"/>
      <x:c r="B70" s="42"/>
      <x:c r="C70" s="42"/>
      <x:c r="D70" s="42"/>
      <x:c r="E70" s="42"/>
      <x:c r="F70" s="42"/>
      <x:c r="G70" s="42"/>
      <x:c r="H70" s="42"/>
      <x:c r="I70" s="42"/>
      <x:c r="J70" s="42"/>
      <x:c r="K70" s="42"/>
      <x:c r="L70" s="42"/>
      <x:c r="M70" s="42"/>
    </x:row>
    <x:row r="71">
      <x:c r="A71" s="42"/>
      <x:c r="B71" s="42"/>
      <x:c r="C71" s="42"/>
      <x:c r="D71" s="42"/>
      <x:c r="E71" s="42"/>
      <x:c r="F71" s="42"/>
      <x:c r="G71" s="42"/>
      <x:c r="H71" s="42"/>
      <x:c r="I71" s="42"/>
      <x:c r="J71" s="42"/>
      <x:c r="K71" s="42"/>
      <x:c r="L71" s="42"/>
      <x:c r="M71" s="42"/>
    </x:row>
    <x:row r="72">
      <x:c r="A72" s="42"/>
      <x:c r="B72" s="42"/>
      <x:c r="C72" s="42"/>
      <x:c r="D72" s="42"/>
      <x:c r="E72" s="42"/>
      <x:c r="F72" s="42"/>
      <x:c r="G72" s="42"/>
      <x:c r="H72" s="42"/>
      <x:c r="I72" s="42"/>
      <x:c r="J72" s="42"/>
      <x:c r="K72" s="42"/>
      <x:c r="L72" s="42"/>
      <x:c r="M72" s="42"/>
    </x:row>
    <x:row r="73">
      <x:c r="A73" s="42"/>
      <x:c r="B73" s="42"/>
      <x:c r="C73" s="42"/>
      <x:c r="D73" s="42"/>
      <x:c r="E73" s="42"/>
      <x:c r="F73" s="42"/>
      <x:c r="G73" s="42"/>
      <x:c r="H73" s="42"/>
      <x:c r="I73" s="42"/>
      <x:c r="J73" s="42"/>
      <x:c r="K73" s="42"/>
      <x:c r="L73" s="42"/>
      <x:c r="M73" s="42"/>
    </x:row>
    <x:row r="74">
      <x:c r="A74" s="42"/>
      <x:c r="B74" s="42"/>
      <x:c r="C74" s="42"/>
      <x:c r="D74" s="42"/>
      <x:c r="E74" s="42"/>
      <x:c r="F74" s="42"/>
      <x:c r="G74" s="42"/>
      <x:c r="H74" s="42"/>
      <x:c r="I74" s="42"/>
      <x:c r="J74" s="42"/>
      <x:c r="K74" s="42"/>
      <x:c r="L74" s="42"/>
      <x:c r="M74" s="42"/>
    </x:row>
    <x:row r="75">
      <x:c r="A75" s="42"/>
      <x:c r="B75" s="42"/>
      <x:c r="C75" s="42"/>
      <x:c r="D75" s="42"/>
      <x:c r="E75" s="42"/>
      <x:c r="F75" s="42"/>
      <x:c r="G75" s="42"/>
      <x:c r="H75" s="42"/>
      <x:c r="I75" s="42"/>
      <x:c r="J75" s="42"/>
      <x:c r="K75" s="42"/>
      <x:c r="L75" s="42"/>
      <x:c r="M75" s="42"/>
    </x:row>
    <x:row r="76">
      <x:c r="A76" s="42"/>
      <x:c r="B76" s="42"/>
      <x:c r="C76" s="42"/>
      <x:c r="D76" s="42"/>
      <x:c r="E76" s="42"/>
      <x:c r="F76" s="42"/>
      <x:c r="G76" s="42"/>
      <x:c r="H76" s="42"/>
      <x:c r="I76" s="42"/>
      <x:c r="J76" s="42"/>
      <x:c r="K76" s="42"/>
      <x:c r="L76" s="42"/>
      <x:c r="M76" s="42"/>
    </x:row>
    <x:row r="77">
      <x:c r="A77" s="42"/>
      <x:c r="B77" s="42"/>
      <x:c r="C77" s="42"/>
      <x:c r="D77" s="42"/>
      <x:c r="E77" s="42"/>
      <x:c r="F77" s="42"/>
      <x:c r="G77" s="42"/>
      <x:c r="H77" s="42"/>
      <x:c r="I77" s="42"/>
      <x:c r="J77" s="42"/>
      <x:c r="K77" s="42"/>
      <x:c r="L77" s="42"/>
      <x:c r="M77" s="42"/>
    </x:row>
    <x:row r="78">
      <x:c r="A78" s="42"/>
      <x:c r="B78" s="42"/>
      <x:c r="C78" s="42"/>
      <x:c r="D78" s="42"/>
      <x:c r="E78" s="42"/>
      <x:c r="F78" s="42"/>
      <x:c r="G78" s="42"/>
      <x:c r="H78" s="42"/>
      <x:c r="I78" s="42"/>
      <x:c r="J78" s="42"/>
      <x:c r="K78" s="42"/>
      <x:c r="L78" s="42"/>
      <x:c r="M78" s="42"/>
    </x:row>
    <x:row r="79">
      <x:c r="A79" s="42"/>
      <x:c r="B79" s="42"/>
      <x:c r="C79" s="42"/>
      <x:c r="D79" s="42"/>
      <x:c r="E79" s="42"/>
      <x:c r="F79" s="42"/>
      <x:c r="G79" s="42"/>
      <x:c r="H79" s="42"/>
      <x:c r="I79" s="42"/>
      <x:c r="J79" s="42"/>
      <x:c r="K79" s="42"/>
      <x:c r="L79" s="42"/>
      <x:c r="M79" s="42"/>
    </x:row>
    <x:row r="80">
      <x:c r="A80" s="42"/>
      <x:c r="B80" s="42"/>
      <x:c r="C80" s="42"/>
      <x:c r="D80" s="42"/>
      <x:c r="E80" s="42"/>
      <x:c r="F80" s="42"/>
      <x:c r="G80" s="42"/>
      <x:c r="H80" s="42"/>
      <x:c r="I80" s="42"/>
      <x:c r="J80" s="42"/>
      <x:c r="K80" s="42"/>
      <x:c r="L80" s="42"/>
      <x:c r="M80" s="42"/>
    </x:row>
    <x:row r="81">
      <x:c r="A81" s="42"/>
      <x:c r="B81" s="42"/>
      <x:c r="C81" s="42"/>
      <x:c r="D81" s="42"/>
      <x:c r="E81" s="42"/>
      <x:c r="F81" s="42"/>
      <x:c r="G81" s="42"/>
      <x:c r="H81" s="42"/>
      <x:c r="I81" s="42"/>
      <x:c r="J81" s="42"/>
      <x:c r="K81" s="42"/>
      <x:c r="L81" s="42"/>
      <x:c r="M81" s="42"/>
    </x:row>
    <x:row r="82">
      <x:c r="A82" s="42"/>
      <x:c r="B82" s="42"/>
      <x:c r="C82" s="42"/>
      <x:c r="D82" s="42"/>
      <x:c r="E82" s="42"/>
      <x:c r="F82" s="42"/>
      <x:c r="G82" s="42"/>
      <x:c r="H82" s="42"/>
      <x:c r="I82" s="42"/>
      <x:c r="J82" s="42"/>
      <x:c r="K82" s="42"/>
      <x:c r="L82" s="42"/>
      <x:c r="M82" s="42"/>
    </x:row>
    <x:row r="83">
      <x:c r="A83" s="42"/>
      <x:c r="B83" s="42"/>
      <x:c r="C83" s="42"/>
      <x:c r="D83" s="42"/>
      <x:c r="E83" s="42"/>
      <x:c r="F83" s="42"/>
      <x:c r="G83" s="42"/>
      <x:c r="H83" s="42"/>
      <x:c r="I83" s="42"/>
      <x:c r="J83" s="42"/>
      <x:c r="K83" s="42"/>
      <x:c r="L83" s="42"/>
      <x:c r="M83" s="42"/>
    </x:row>
    <x:row r="84">
      <x:c r="A84" s="42"/>
      <x:c r="B84" s="42"/>
      <x:c r="C84" s="42"/>
      <x:c r="D84" s="42"/>
      <x:c r="E84" s="42"/>
      <x:c r="F84" s="42"/>
      <x:c r="G84" s="42"/>
      <x:c r="H84" s="42"/>
      <x:c r="I84" s="42"/>
      <x:c r="J84" s="42"/>
      <x:c r="K84" s="42"/>
      <x:c r="L84" s="42"/>
      <x:c r="M84" s="42"/>
    </x:row>
    <x:row r="85">
      <x:c r="A85" s="42"/>
      <x:c r="B85" s="42"/>
      <x:c r="C85" s="42"/>
      <x:c r="D85" s="42"/>
      <x:c r="E85" s="42"/>
      <x:c r="F85" s="42"/>
      <x:c r="G85" s="42"/>
      <x:c r="H85" s="42"/>
      <x:c r="I85" s="42"/>
      <x:c r="J85" s="42"/>
      <x:c r="K85" s="42"/>
      <x:c r="L85" s="42"/>
      <x:c r="M85" s="42"/>
    </x:row>
    <x:row r="86">
      <x:c r="A86" s="42"/>
      <x:c r="B86" s="42"/>
      <x:c r="C86" s="42"/>
      <x:c r="D86" s="42"/>
      <x:c r="E86" s="42"/>
      <x:c r="F86" s="42"/>
      <x:c r="G86" s="42"/>
      <x:c r="H86" s="42"/>
      <x:c r="I86" s="42"/>
      <x:c r="J86" s="42"/>
      <x:c r="K86" s="42"/>
      <x:c r="L86" s="42"/>
      <x:c r="M86" s="42"/>
    </x:row>
    <x:row r="87">
      <x:c r="A87" s="42"/>
      <x:c r="B87" s="42"/>
      <x:c r="C87" s="42"/>
      <x:c r="D87" s="42"/>
      <x:c r="E87" s="42"/>
      <x:c r="F87" s="42"/>
      <x:c r="G87" s="42"/>
      <x:c r="H87" s="42"/>
      <x:c r="I87" s="42"/>
      <x:c r="J87" s="42"/>
      <x:c r="K87" s="42"/>
      <x:c r="L87" s="42"/>
      <x:c r="M87" s="42"/>
    </x:row>
    <x:row r="88">
      <x:c r="A88" s="42"/>
      <x:c r="B88" s="42"/>
      <x:c r="C88" s="42"/>
      <x:c r="D88" s="42"/>
      <x:c r="E88" s="42"/>
      <x:c r="F88" s="42"/>
      <x:c r="G88" s="42"/>
      <x:c r="H88" s="42"/>
      <x:c r="I88" s="42"/>
      <x:c r="J88" s="42"/>
      <x:c r="K88" s="42"/>
      <x:c r="L88" s="42"/>
      <x:c r="M88" s="42"/>
    </x:row>
    <x:row r="89">
      <x:c r="A89" s="42"/>
      <x:c r="B89" s="42"/>
      <x:c r="C89" s="42"/>
      <x:c r="D89" s="42"/>
      <x:c r="E89" s="42"/>
      <x:c r="F89" s="42"/>
      <x:c r="G89" s="42"/>
      <x:c r="H89" s="42"/>
      <x:c r="I89" s="42"/>
      <x:c r="J89" s="42"/>
      <x:c r="K89" s="42"/>
      <x:c r="L89" s="42"/>
      <x:c r="M89" s="42"/>
    </x:row>
    <x:row r="90">
      <x:c r="A90" s="42"/>
      <x:c r="B90" s="42"/>
      <x:c r="C90" s="42"/>
      <x:c r="D90" s="42"/>
      <x:c r="E90" s="42"/>
      <x:c r="F90" s="42"/>
      <x:c r="G90" s="42"/>
      <x:c r="H90" s="42"/>
      <x:c r="I90" s="42"/>
      <x:c r="J90" s="42"/>
      <x:c r="K90" s="42"/>
      <x:c r="L90" s="42"/>
      <x:c r="M90" s="42"/>
    </x:row>
    <x:row r="91">
      <x:c r="A91" s="42"/>
      <x:c r="B91" s="42"/>
      <x:c r="C91" s="42"/>
      <x:c r="D91" s="42"/>
      <x:c r="E91" s="42"/>
      <x:c r="F91" s="42"/>
      <x:c r="G91" s="42"/>
      <x:c r="H91" s="42"/>
      <x:c r="I91" s="42"/>
      <x:c r="J91" s="42"/>
      <x:c r="K91" s="42"/>
      <x:c r="L91" s="42"/>
      <x:c r="M91" s="42"/>
    </x:row>
    <x:row r="92">
      <x:c r="A92" s="42"/>
      <x:c r="B92" s="42"/>
      <x:c r="C92" s="42"/>
      <x:c r="D92" s="42"/>
      <x:c r="E92" s="42"/>
      <x:c r="F92" s="42"/>
      <x:c r="G92" s="42"/>
      <x:c r="H92" s="42"/>
      <x:c r="I92" s="42"/>
      <x:c r="J92" s="42"/>
      <x:c r="K92" s="42"/>
      <x:c r="L92" s="42"/>
      <x:c r="M92" s="42"/>
    </x:row>
    <x:row r="93">
      <x:c r="A93" s="42"/>
      <x:c r="B93" s="42"/>
      <x:c r="C93" s="42"/>
      <x:c r="D93" s="42"/>
      <x:c r="E93" s="42"/>
      <x:c r="F93" s="42"/>
      <x:c r="G93" s="42"/>
      <x:c r="H93" s="42"/>
      <x:c r="I93" s="42"/>
      <x:c r="J93" s="42"/>
      <x:c r="K93" s="42"/>
      <x:c r="L93" s="42"/>
      <x:c r="M93" s="42"/>
    </x:row>
    <x:row r="94">
      <x:c r="A94" s="42"/>
      <x:c r="B94" s="42"/>
      <x:c r="C94" s="42"/>
      <x:c r="D94" s="42"/>
      <x:c r="E94" s="42"/>
      <x:c r="F94" s="42"/>
      <x:c r="G94" s="42"/>
      <x:c r="H94" s="42"/>
      <x:c r="I94" s="42"/>
      <x:c r="J94" s="42"/>
      <x:c r="K94" s="42"/>
      <x:c r="L94" s="42"/>
      <x:c r="M94" s="42"/>
    </x:row>
    <x:row r="95">
      <x:c r="A95" s="42"/>
      <x:c r="B95" s="42"/>
      <x:c r="C95" s="42"/>
      <x:c r="D95" s="42"/>
      <x:c r="E95" s="42"/>
      <x:c r="F95" s="42"/>
      <x:c r="G95" s="42"/>
      <x:c r="H95" s="42"/>
      <x:c r="I95" s="42"/>
      <x:c r="J95" s="42"/>
      <x:c r="K95" s="42"/>
      <x:c r="L95" s="42"/>
      <x:c r="M95" s="42"/>
    </x:row>
    <x:row r="96">
      <x:c r="A96" s="42"/>
      <x:c r="B96" s="42"/>
      <x:c r="C96" s="42"/>
      <x:c r="D96" s="42"/>
      <x:c r="E96" s="42"/>
      <x:c r="F96" s="42"/>
      <x:c r="G96" s="42"/>
      <x:c r="H96" s="42"/>
      <x:c r="I96" s="42"/>
      <x:c r="J96" s="42"/>
      <x:c r="K96" s="42"/>
      <x:c r="L96" s="42"/>
      <x:c r="M96" s="42"/>
    </x:row>
    <x:row r="97">
      <x:c r="A97" s="42"/>
      <x:c r="B97" s="42"/>
      <x:c r="C97" s="42"/>
      <x:c r="D97" s="42"/>
      <x:c r="E97" s="42"/>
      <x:c r="F97" s="42"/>
      <x:c r="G97" s="42"/>
      <x:c r="H97" s="42"/>
      <x:c r="I97" s="42"/>
      <x:c r="J97" s="42"/>
      <x:c r="K97" s="42"/>
      <x:c r="L97" s="42"/>
      <x:c r="M97" s="42"/>
    </x:row>
    <x:row r="98">
      <x:c r="A98" s="42"/>
      <x:c r="B98" s="42"/>
      <x:c r="C98" s="42"/>
      <x:c r="D98" s="42"/>
      <x:c r="E98" s="42"/>
      <x:c r="F98" s="42"/>
      <x:c r="G98" s="42"/>
      <x:c r="H98" s="42"/>
      <x:c r="I98" s="42"/>
      <x:c r="J98" s="42"/>
      <x:c r="K98" s="42"/>
      <x:c r="L98" s="42"/>
      <x:c r="M98" s="42"/>
    </x:row>
    <x:row r="99">
      <x:c r="A99" s="42"/>
      <x:c r="B99" s="42"/>
      <x:c r="C99" s="42"/>
      <x:c r="D99" s="42"/>
      <x:c r="E99" s="42"/>
      <x:c r="F99" s="42"/>
      <x:c r="G99" s="42"/>
      <x:c r="H99" s="42"/>
      <x:c r="I99" s="42"/>
      <x:c r="J99" s="42"/>
      <x:c r="K99" s="42"/>
      <x:c r="L99" s="42"/>
      <x:c r="M99" s="42"/>
    </x:row>
    <x:row r="100">
      <x:c r="A100" s="42"/>
      <x:c r="B100" s="42"/>
      <x:c r="C100" s="42"/>
      <x:c r="D100" s="42"/>
      <x:c r="E100" s="42"/>
      <x:c r="F100" s="42"/>
      <x:c r="G100" s="42"/>
      <x:c r="H100" s="42"/>
      <x:c r="I100" s="42"/>
      <x:c r="J100" s="42"/>
      <x:c r="K100" s="42"/>
      <x:c r="L100" s="42"/>
      <x:c r="M100" s="42"/>
    </x:row>
    <x:row r="101">
      <x:c r="A101" s="42"/>
      <x:c r="B101" s="42"/>
      <x:c r="C101" s="42"/>
      <x:c r="D101" s="42"/>
      <x:c r="E101" s="42"/>
      <x:c r="F101" s="42"/>
      <x:c r="G101" s="42"/>
      <x:c r="H101" s="42"/>
      <x:c r="I101" s="42"/>
      <x:c r="J101" s="42"/>
      <x:c r="K101" s="42"/>
      <x:c r="L101" s="42"/>
      <x:c r="M101" s="42"/>
    </x:row>
    <x:row r="102">
      <x:c r="A102" s="42"/>
      <x:c r="B102" s="42"/>
      <x:c r="C102" s="42"/>
      <x:c r="D102" s="42"/>
      <x:c r="E102" s="42"/>
      <x:c r="F102" s="42"/>
      <x:c r="G102" s="42"/>
      <x:c r="H102" s="42"/>
      <x:c r="I102" s="42"/>
      <x:c r="J102" s="42"/>
      <x:c r="K102" s="42"/>
      <x:c r="L102" s="42"/>
      <x:c r="M102" s="42"/>
    </x:row>
    <x:row r="103">
      <x:c r="A103" s="42"/>
      <x:c r="B103" s="42"/>
      <x:c r="C103" s="42"/>
      <x:c r="D103" s="42"/>
      <x:c r="E103" s="42"/>
      <x:c r="F103" s="42"/>
      <x:c r="G103" s="42"/>
      <x:c r="H103" s="42"/>
      <x:c r="I103" s="42"/>
      <x:c r="J103" s="42"/>
      <x:c r="K103" s="42"/>
      <x:c r="L103" s="42"/>
      <x:c r="M103" s="42"/>
    </x:row>
    <x:row r="104">
      <x:c r="A104" s="42"/>
      <x:c r="B104" s="42"/>
      <x:c r="C104" s="42"/>
      <x:c r="D104" s="42"/>
      <x:c r="E104" s="42"/>
      <x:c r="F104" s="42"/>
      <x:c r="G104" s="42"/>
      <x:c r="H104" s="42"/>
      <x:c r="I104" s="42"/>
      <x:c r="J104" s="42"/>
      <x:c r="K104" s="42"/>
      <x:c r="L104" s="42"/>
      <x:c r="M104" s="42"/>
    </x:row>
    <x:row r="105">
      <x:c r="A105" s="42"/>
      <x:c r="B105" s="42"/>
      <x:c r="C105" s="42"/>
      <x:c r="D105" s="42"/>
      <x:c r="E105" s="42"/>
      <x:c r="F105" s="42"/>
      <x:c r="G105" s="42"/>
      <x:c r="H105" s="42"/>
      <x:c r="I105" s="42"/>
      <x:c r="J105" s="42"/>
      <x:c r="K105" s="42"/>
      <x:c r="L105" s="42"/>
      <x:c r="M105" s="42"/>
    </x:row>
    <x:row r="106">
      <x:c r="A106" s="42"/>
      <x:c r="B106" s="42"/>
      <x:c r="C106" s="42"/>
      <x:c r="D106" s="42"/>
      <x:c r="E106" s="42"/>
      <x:c r="F106" s="42"/>
      <x:c r="G106" s="42"/>
      <x:c r="H106" s="42"/>
      <x:c r="I106" s="42"/>
      <x:c r="J106" s="42"/>
      <x:c r="K106" s="42"/>
      <x:c r="L106" s="42"/>
      <x:c r="M106" s="42"/>
    </x:row>
    <x:row r="107">
      <x:c r="A107" s="42"/>
      <x:c r="B107" s="42"/>
      <x:c r="C107" s="42"/>
      <x:c r="D107" s="42"/>
      <x:c r="E107" s="42"/>
      <x:c r="F107" s="42"/>
      <x:c r="G107" s="42"/>
      <x:c r="H107" s="42"/>
      <x:c r="I107" s="42"/>
      <x:c r="J107" s="42"/>
      <x:c r="K107" s="42"/>
      <x:c r="L107" s="42"/>
      <x:c r="M107" s="42"/>
    </x:row>
    <x:row r="108">
      <x:c r="A108" s="42"/>
      <x:c r="B108" s="42"/>
      <x:c r="C108" s="42"/>
      <x:c r="D108" s="42"/>
      <x:c r="E108" s="42"/>
      <x:c r="F108" s="42"/>
      <x:c r="G108" s="42"/>
      <x:c r="H108" s="42"/>
      <x:c r="I108" s="42"/>
      <x:c r="J108" s="42"/>
      <x:c r="K108" s="42"/>
      <x:c r="L108" s="42"/>
      <x:c r="M108" s="42"/>
    </x:row>
    <x:row r="109">
      <x:c r="A109" s="42"/>
      <x:c r="B109" s="42"/>
      <x:c r="C109" s="42"/>
      <x:c r="D109" s="42"/>
      <x:c r="E109" s="42"/>
      <x:c r="F109" s="42"/>
      <x:c r="G109" s="42"/>
      <x:c r="H109" s="42"/>
      <x:c r="I109" s="42"/>
      <x:c r="J109" s="42"/>
      <x:c r="K109" s="42"/>
      <x:c r="L109" s="42"/>
      <x:c r="M109" s="42"/>
    </x:row>
    <x:row r="110">
      <x:c r="A110" s="42"/>
      <x:c r="B110" s="42"/>
      <x:c r="C110" s="42"/>
      <x:c r="D110" s="42"/>
      <x:c r="E110" s="42"/>
      <x:c r="F110" s="42"/>
      <x:c r="G110" s="42"/>
      <x:c r="H110" s="42"/>
      <x:c r="I110" s="42"/>
      <x:c r="J110" s="42"/>
      <x:c r="K110" s="42"/>
      <x:c r="L110" s="42"/>
      <x:c r="M110" s="42"/>
    </x:row>
    <x:row r="111">
      <x:c r="A111" s="42"/>
      <x:c r="B111" s="42"/>
      <x:c r="C111" s="42"/>
      <x:c r="D111" s="42"/>
      <x:c r="E111" s="42"/>
      <x:c r="F111" s="42"/>
      <x:c r="G111" s="42"/>
      <x:c r="H111" s="42"/>
      <x:c r="I111" s="42"/>
      <x:c r="J111" s="42"/>
      <x:c r="K111" s="42"/>
      <x:c r="L111" s="42"/>
      <x:c r="M111" s="42"/>
    </x:row>
    <x:row r="112">
      <x:c r="A112" s="42"/>
      <x:c r="B112" s="42"/>
      <x:c r="C112" s="42"/>
      <x:c r="D112" s="42"/>
      <x:c r="E112" s="42"/>
      <x:c r="F112" s="42"/>
      <x:c r="G112" s="42"/>
      <x:c r="H112" s="42"/>
      <x:c r="I112" s="42"/>
      <x:c r="J112" s="42"/>
      <x:c r="K112" s="42"/>
      <x:c r="L112" s="42"/>
      <x:c r="M112" s="42"/>
    </x:row>
    <x:row r="113">
      <x:c r="A113" s="42"/>
      <x:c r="B113" s="42"/>
      <x:c r="C113" s="42"/>
      <x:c r="D113" s="42"/>
      <x:c r="E113" s="42"/>
      <x:c r="F113" s="42"/>
      <x:c r="G113" s="42"/>
      <x:c r="H113" s="42"/>
      <x:c r="I113" s="42"/>
      <x:c r="J113" s="42"/>
      <x:c r="K113" s="42"/>
      <x:c r="L113" s="42"/>
      <x:c r="M113" s="42"/>
    </x:row>
    <x:row r="114">
      <x:c r="A114" s="42"/>
      <x:c r="B114" s="42"/>
      <x:c r="C114" s="42"/>
      <x:c r="D114" s="42"/>
      <x:c r="E114" s="42"/>
      <x:c r="F114" s="42"/>
      <x:c r="G114" s="42"/>
      <x:c r="H114" s="42"/>
      <x:c r="I114" s="42"/>
      <x:c r="J114" s="42"/>
      <x:c r="K114" s="42"/>
      <x:c r="L114" s="42"/>
      <x:c r="M114" s="42"/>
    </x:row>
    <x:row r="115">
      <x:c r="A115" s="42"/>
      <x:c r="B115" s="42"/>
      <x:c r="C115" s="42"/>
      <x:c r="D115" s="42"/>
      <x:c r="E115" s="42"/>
      <x:c r="F115" s="42"/>
      <x:c r="G115" s="42"/>
      <x:c r="H115" s="42"/>
      <x:c r="I115" s="42"/>
      <x:c r="J115" s="42"/>
      <x:c r="K115" s="42"/>
      <x:c r="L115" s="42"/>
      <x:c r="M115" s="42"/>
    </x:row>
    <x:row r="116">
      <x:c r="A116" s="42"/>
      <x:c r="B116" s="42"/>
      <x:c r="C116" s="42"/>
      <x:c r="D116" s="42"/>
      <x:c r="E116" s="42"/>
      <x:c r="F116" s="42"/>
      <x:c r="G116" s="42"/>
      <x:c r="H116" s="42"/>
      <x:c r="I116" s="42"/>
      <x:c r="J116" s="42"/>
      <x:c r="K116" s="42"/>
      <x:c r="L116" s="42"/>
      <x:c r="M116" s="42"/>
    </x:row>
    <x:row r="117">
      <x:c r="A117" s="42"/>
      <x:c r="B117" s="42"/>
      <x:c r="C117" s="42"/>
      <x:c r="D117" s="42"/>
      <x:c r="E117" s="42"/>
      <x:c r="F117" s="42"/>
      <x:c r="G117" s="42"/>
      <x:c r="H117" s="42"/>
      <x:c r="I117" s="42"/>
      <x:c r="J117" s="42"/>
      <x:c r="K117" s="42"/>
      <x:c r="L117" s="42"/>
      <x:c r="M117" s="42"/>
    </x:row>
    <x:row r="118">
      <x:c r="A118" s="42"/>
      <x:c r="B118" s="42"/>
      <x:c r="C118" s="42"/>
      <x:c r="D118" s="42"/>
      <x:c r="E118" s="42"/>
      <x:c r="F118" s="42"/>
      <x:c r="G118" s="42"/>
      <x:c r="H118" s="42"/>
      <x:c r="I118" s="42"/>
      <x:c r="J118" s="42"/>
      <x:c r="K118" s="42"/>
      <x:c r="L118" s="42"/>
      <x:c r="M118" s="42"/>
    </x:row>
    <x:row r="119">
      <x:c r="A119" s="42"/>
      <x:c r="B119" s="42"/>
      <x:c r="C119" s="42"/>
      <x:c r="D119" s="42"/>
      <x:c r="E119" s="42"/>
      <x:c r="F119" s="42"/>
      <x:c r="G119" s="42"/>
      <x:c r="H119" s="42"/>
      <x:c r="I119" s="42"/>
      <x:c r="J119" s="42"/>
      <x:c r="K119" s="42"/>
      <x:c r="L119" s="42"/>
      <x:c r="M119" s="42"/>
    </x:row>
    <x:row r="120">
      <x:c r="A120" s="42"/>
      <x:c r="B120" s="42"/>
      <x:c r="C120" s="42"/>
      <x:c r="D120" s="42"/>
      <x:c r="E120" s="42"/>
      <x:c r="F120" s="42"/>
      <x:c r="G120" s="42"/>
      <x:c r="H120" s="42"/>
      <x:c r="I120" s="42"/>
      <x:c r="J120" s="42"/>
      <x:c r="K120" s="42"/>
      <x:c r="L120" s="42"/>
      <x:c r="M120" s="42"/>
    </x:row>
    <x:row r="121">
      <x:c r="A121" s="42"/>
      <x:c r="B121" s="42"/>
      <x:c r="C121" s="42"/>
      <x:c r="D121" s="42"/>
      <x:c r="E121" s="42"/>
      <x:c r="F121" s="42"/>
      <x:c r="G121" s="42"/>
      <x:c r="H121" s="42"/>
      <x:c r="I121" s="42"/>
      <x:c r="J121" s="42"/>
      <x:c r="K121" s="42"/>
      <x:c r="L121" s="42"/>
      <x:c r="M121" s="42"/>
    </x:row>
    <x:row r="122">
      <x:c r="A122" s="42"/>
      <x:c r="B122" s="42"/>
      <x:c r="C122" s="42"/>
      <x:c r="D122" s="42"/>
      <x:c r="E122" s="42"/>
      <x:c r="F122" s="42"/>
      <x:c r="G122" s="42"/>
      <x:c r="H122" s="42"/>
      <x:c r="I122" s="42"/>
      <x:c r="J122" s="42"/>
      <x:c r="K122" s="42"/>
      <x:c r="L122" s="42"/>
      <x:c r="M122" s="42"/>
    </x:row>
    <x:row r="123">
      <x:c r="A123" s="42"/>
      <x:c r="B123" s="42"/>
      <x:c r="C123" s="42"/>
      <x:c r="D123" s="42"/>
      <x:c r="E123" s="42"/>
      <x:c r="F123" s="42"/>
      <x:c r="G123" s="42"/>
      <x:c r="H123" s="42"/>
      <x:c r="I123" s="42"/>
      <x:c r="J123" s="42"/>
      <x:c r="K123" s="42"/>
      <x:c r="L123" s="42"/>
      <x:c r="M123" s="42"/>
    </x:row>
    <x:row r="124">
      <x:c r="A124" s="42"/>
      <x:c r="B124" s="42"/>
      <x:c r="C124" s="42"/>
      <x:c r="D124" s="42"/>
      <x:c r="E124" s="42"/>
      <x:c r="F124" s="42"/>
      <x:c r="G124" s="42"/>
      <x:c r="H124" s="42"/>
      <x:c r="I124" s="42"/>
      <x:c r="J124" s="42"/>
      <x:c r="K124" s="42"/>
      <x:c r="L124" s="42"/>
      <x:c r="M124" s="42"/>
    </x:row>
    <x:row r="125">
      <x:c r="A125" s="42"/>
      <x:c r="B125" s="42"/>
      <x:c r="C125" s="42"/>
      <x:c r="D125" s="42"/>
      <x:c r="E125" s="42"/>
      <x:c r="F125" s="42"/>
      <x:c r="G125" s="42"/>
      <x:c r="H125" s="42"/>
      <x:c r="I125" s="42"/>
      <x:c r="J125" s="42"/>
      <x:c r="K125" s="42"/>
      <x:c r="L125" s="42"/>
      <x:c r="M125" s="42"/>
    </x:row>
    <x:row r="126">
      <x:c r="A126" s="42"/>
      <x:c r="B126" s="42"/>
      <x:c r="C126" s="42"/>
      <x:c r="D126" s="42"/>
      <x:c r="E126" s="42"/>
      <x:c r="F126" s="42"/>
      <x:c r="G126" s="42"/>
      <x:c r="H126" s="42"/>
      <x:c r="I126" s="42"/>
      <x:c r="J126" s="42"/>
      <x:c r="K126" s="42"/>
      <x:c r="L126" s="42"/>
      <x:c r="M126" s="42"/>
    </x:row>
    <x:row r="127">
      <x:c r="A127" s="42"/>
      <x:c r="B127" s="42"/>
      <x:c r="C127" s="42"/>
      <x:c r="D127" s="42"/>
      <x:c r="E127" s="42"/>
      <x:c r="F127" s="42"/>
      <x:c r="G127" s="42"/>
      <x:c r="H127" s="42"/>
      <x:c r="I127" s="42"/>
      <x:c r="J127" s="42"/>
      <x:c r="K127" s="42"/>
      <x:c r="L127" s="42"/>
      <x:c r="M127" s="42"/>
    </x:row>
    <x:row r="128">
      <x:c r="A128" s="42"/>
      <x:c r="B128" s="42"/>
      <x:c r="C128" s="42"/>
      <x:c r="D128" s="42"/>
      <x:c r="E128" s="42"/>
      <x:c r="F128" s="42"/>
      <x:c r="G128" s="42"/>
      <x:c r="H128" s="42"/>
      <x:c r="I128" s="42"/>
      <x:c r="J128" s="42"/>
      <x:c r="K128" s="42"/>
      <x:c r="L128" s="42"/>
      <x:c r="M128" s="42"/>
    </x:row>
    <x:row r="129">
      <x:c r="A129" s="42"/>
      <x:c r="B129" s="42"/>
      <x:c r="C129" s="42"/>
      <x:c r="D129" s="42"/>
      <x:c r="E129" s="42"/>
      <x:c r="F129" s="42"/>
      <x:c r="G129" s="42"/>
      <x:c r="H129" s="42"/>
      <x:c r="I129" s="42"/>
      <x:c r="J129" s="42"/>
      <x:c r="K129" s="42"/>
      <x:c r="L129" s="42"/>
      <x:c r="M129" s="42"/>
    </x:row>
    <x:row r="130">
      <x:c r="A130" s="42"/>
      <x:c r="B130" s="42"/>
      <x:c r="C130" s="42"/>
      <x:c r="D130" s="42"/>
      <x:c r="E130" s="42"/>
      <x:c r="F130" s="42"/>
      <x:c r="G130" s="42"/>
      <x:c r="H130" s="42"/>
      <x:c r="I130" s="42"/>
      <x:c r="J130" s="42"/>
      <x:c r="K130" s="42"/>
      <x:c r="L130" s="42"/>
      <x:c r="M130" s="42"/>
    </x:row>
    <x:row r="131">
      <x:c r="A131" s="42"/>
      <x:c r="B131" s="42"/>
      <x:c r="C131" s="42"/>
      <x:c r="D131" s="42"/>
      <x:c r="E131" s="42"/>
      <x:c r="F131" s="42"/>
      <x:c r="G131" s="42"/>
      <x:c r="H131" s="42"/>
      <x:c r="I131" s="42"/>
      <x:c r="J131" s="42"/>
      <x:c r="K131" s="42"/>
      <x:c r="L131" s="42"/>
      <x:c r="M131" s="42"/>
    </x:row>
    <x:row r="132">
      <x:c r="A132" s="42"/>
      <x:c r="B132" s="42"/>
      <x:c r="C132" s="42"/>
      <x:c r="D132" s="42"/>
      <x:c r="E132" s="42"/>
      <x:c r="F132" s="42"/>
      <x:c r="G132" s="42"/>
      <x:c r="H132" s="42"/>
      <x:c r="I132" s="42"/>
      <x:c r="J132" s="42"/>
      <x:c r="K132" s="42"/>
      <x:c r="L132" s="42"/>
      <x:c r="M132" s="42"/>
    </x:row>
    <x:row r="133">
      <x:c r="A133" s="42"/>
      <x:c r="B133" s="42"/>
      <x:c r="C133" s="42"/>
      <x:c r="D133" s="42"/>
      <x:c r="E133" s="42"/>
      <x:c r="F133" s="42"/>
      <x:c r="G133" s="42"/>
      <x:c r="H133" s="42"/>
      <x:c r="I133" s="42"/>
      <x:c r="J133" s="42"/>
      <x:c r="K133" s="42"/>
      <x:c r="L133" s="42"/>
      <x:c r="M133" s="42"/>
    </x:row>
    <x:row r="134">
      <x:c r="A134" s="42"/>
      <x:c r="B134" s="42"/>
      <x:c r="C134" s="42"/>
      <x:c r="D134" s="42"/>
      <x:c r="E134" s="42"/>
      <x:c r="F134" s="42"/>
      <x:c r="G134" s="42"/>
      <x:c r="H134" s="42"/>
      <x:c r="I134" s="42"/>
      <x:c r="J134" s="42"/>
      <x:c r="K134" s="42"/>
      <x:c r="L134" s="42"/>
      <x:c r="M134" s="42"/>
    </x:row>
    <x:row r="135">
      <x:c r="A135" s="42"/>
      <x:c r="B135" s="42"/>
      <x:c r="C135" s="42"/>
      <x:c r="D135" s="42"/>
      <x:c r="E135" s="42"/>
      <x:c r="F135" s="42"/>
      <x:c r="G135" s="42"/>
      <x:c r="H135" s="42"/>
      <x:c r="I135" s="42"/>
      <x:c r="J135" s="42"/>
      <x:c r="K135" s="42"/>
      <x:c r="L135" s="42"/>
      <x:c r="M135" s="42"/>
    </x:row>
    <x:row r="136">
      <x:c r="A136" s="42"/>
      <x:c r="B136" s="42"/>
      <x:c r="C136" s="42"/>
      <x:c r="D136" s="42"/>
      <x:c r="E136" s="42"/>
      <x:c r="F136" s="42"/>
      <x:c r="G136" s="42"/>
      <x:c r="H136" s="42"/>
      <x:c r="I136" s="42"/>
      <x:c r="J136" s="42"/>
      <x:c r="K136" s="42"/>
      <x:c r="L136" s="42"/>
      <x:c r="M136" s="42"/>
    </x:row>
    <x:row r="137">
      <x:c r="A137" s="42"/>
      <x:c r="B137" s="42"/>
      <x:c r="C137" s="42"/>
      <x:c r="D137" s="42"/>
      <x:c r="E137" s="42"/>
      <x:c r="F137" s="42"/>
      <x:c r="G137" s="42"/>
      <x:c r="H137" s="42"/>
      <x:c r="I137" s="42"/>
      <x:c r="J137" s="42"/>
      <x:c r="K137" s="42"/>
      <x:c r="L137" s="42"/>
      <x:c r="M137" s="42"/>
    </x:row>
    <x:row r="138">
      <x:c r="A138" s="42"/>
      <x:c r="B138" s="42"/>
      <x:c r="C138" s="42"/>
      <x:c r="D138" s="42"/>
      <x:c r="E138" s="42"/>
      <x:c r="F138" s="42"/>
      <x:c r="G138" s="42"/>
      <x:c r="H138" s="42"/>
      <x:c r="I138" s="42"/>
      <x:c r="J138" s="42"/>
      <x:c r="K138" s="42"/>
      <x:c r="L138" s="42"/>
      <x:c r="M138" s="42"/>
    </x:row>
    <x:row r="139">
      <x:c r="A139" s="42"/>
      <x:c r="B139" s="42"/>
      <x:c r="C139" s="42"/>
      <x:c r="D139" s="42"/>
      <x:c r="E139" s="42"/>
      <x:c r="F139" s="42"/>
      <x:c r="G139" s="42"/>
      <x:c r="H139" s="42"/>
      <x:c r="I139" s="42"/>
      <x:c r="J139" s="42"/>
      <x:c r="K139" s="42"/>
      <x:c r="L139" s="42"/>
      <x:c r="M139" s="42"/>
    </x:row>
    <x:row r="140">
      <x:c r="A140" s="42"/>
      <x:c r="B140" s="42"/>
      <x:c r="C140" s="42"/>
      <x:c r="D140" s="42"/>
      <x:c r="E140" s="42"/>
      <x:c r="F140" s="42"/>
      <x:c r="G140" s="42"/>
      <x:c r="H140" s="42"/>
      <x:c r="I140" s="42"/>
      <x:c r="J140" s="42"/>
      <x:c r="K140" s="42"/>
      <x:c r="L140" s="42"/>
      <x:c r="M140" s="42"/>
    </x:row>
    <x:row r="141">
      <x:c r="A141" s="42"/>
      <x:c r="B141" s="42"/>
      <x:c r="C141" s="42"/>
      <x:c r="D141" s="42"/>
      <x:c r="E141" s="42"/>
      <x:c r="F141" s="42"/>
      <x:c r="G141" s="42"/>
      <x:c r="H141" s="42"/>
      <x:c r="I141" s="42"/>
      <x:c r="J141" s="42"/>
      <x:c r="K141" s="42"/>
      <x:c r="L141" s="42"/>
      <x:c r="M141" s="42"/>
    </x:row>
    <x:row r="142">
      <x:c r="A142" s="42"/>
      <x:c r="B142" s="42"/>
      <x:c r="C142" s="42"/>
      <x:c r="D142" s="42"/>
      <x:c r="E142" s="42"/>
      <x:c r="F142" s="42"/>
      <x:c r="G142" s="42"/>
      <x:c r="H142" s="42"/>
      <x:c r="I142" s="42"/>
      <x:c r="J142" s="42"/>
      <x:c r="K142" s="42"/>
      <x:c r="L142" s="42"/>
      <x:c r="M142" s="42"/>
    </x:row>
    <x:row r="143">
      <x:c r="A143" s="42"/>
      <x:c r="B143" s="42"/>
      <x:c r="C143" s="42"/>
      <x:c r="D143" s="42"/>
      <x:c r="E143" s="42"/>
      <x:c r="F143" s="42"/>
      <x:c r="G143" s="42"/>
      <x:c r="H143" s="42"/>
      <x:c r="I143" s="42"/>
      <x:c r="J143" s="42"/>
      <x:c r="K143" s="42"/>
      <x:c r="L143" s="42"/>
      <x:c r="M143" s="42"/>
    </x:row>
    <x:row r="144">
      <x:c r="A144" s="42"/>
      <x:c r="B144" s="42"/>
      <x:c r="C144" s="42"/>
      <x:c r="D144" s="42"/>
      <x:c r="E144" s="42"/>
      <x:c r="F144" s="42"/>
      <x:c r="G144" s="42"/>
      <x:c r="H144" s="42"/>
      <x:c r="I144" s="42"/>
      <x:c r="J144" s="42"/>
      <x:c r="K144" s="42"/>
      <x:c r="L144" s="42"/>
      <x:c r="M144" s="42"/>
    </x:row>
    <x:row r="145">
      <x:c r="A145" s="42"/>
      <x:c r="B145" s="42"/>
      <x:c r="C145" s="42"/>
      <x:c r="D145" s="42"/>
      <x:c r="E145" s="42"/>
      <x:c r="F145" s="42"/>
      <x:c r="G145" s="42"/>
      <x:c r="H145" s="42"/>
      <x:c r="I145" s="42"/>
      <x:c r="J145" s="42"/>
      <x:c r="K145" s="42"/>
      <x:c r="L145" s="42"/>
      <x:c r="M145" s="42"/>
    </x:row>
    <x:row r="146">
      <x:c r="A146" s="42"/>
      <x:c r="B146" s="42"/>
      <x:c r="C146" s="42"/>
      <x:c r="D146" s="42"/>
      <x:c r="E146" s="42"/>
      <x:c r="F146" s="42"/>
      <x:c r="G146" s="42"/>
      <x:c r="H146" s="42"/>
      <x:c r="I146" s="42"/>
      <x:c r="J146" s="42"/>
      <x:c r="K146" s="42"/>
      <x:c r="L146" s="42"/>
      <x:c r="M146" s="42"/>
    </x:row>
    <x:row r="147">
      <x:c r="A147" s="42"/>
      <x:c r="B147" s="42"/>
      <x:c r="C147" s="42"/>
      <x:c r="D147" s="42"/>
      <x:c r="E147" s="42"/>
      <x:c r="F147" s="42"/>
      <x:c r="G147" s="42"/>
      <x:c r="H147" s="42"/>
      <x:c r="I147" s="42"/>
      <x:c r="J147" s="42"/>
      <x:c r="K147" s="42"/>
      <x:c r="L147" s="42"/>
      <x:c r="M147" s="42"/>
    </x:row>
    <x:row r="148">
      <x:c r="A148" s="42"/>
      <x:c r="B148" s="42"/>
      <x:c r="C148" s="42"/>
      <x:c r="D148" s="42"/>
      <x:c r="E148" s="42"/>
      <x:c r="F148" s="42"/>
      <x:c r="G148" s="42"/>
      <x:c r="H148" s="42"/>
      <x:c r="I148" s="42"/>
      <x:c r="J148" s="42"/>
      <x:c r="K148" s="42"/>
      <x:c r="L148" s="42"/>
      <x:c r="M148" s="42"/>
    </x:row>
    <x:row r="149">
      <x:c r="A149" s="42"/>
      <x:c r="B149" s="42"/>
      <x:c r="C149" s="42"/>
      <x:c r="D149" s="42"/>
      <x:c r="E149" s="42"/>
      <x:c r="F149" s="42"/>
      <x:c r="G149" s="42"/>
      <x:c r="H149" s="42"/>
      <x:c r="I149" s="42"/>
      <x:c r="J149" s="42"/>
      <x:c r="K149" s="42"/>
      <x:c r="L149" s="42"/>
      <x:c r="M149" s="42"/>
    </x:row>
    <x:row r="150">
      <x:c r="A150" s="42"/>
      <x:c r="B150" s="42"/>
      <x:c r="C150" s="42"/>
      <x:c r="D150" s="42"/>
      <x:c r="E150" s="42"/>
      <x:c r="F150" s="42"/>
      <x:c r="G150" s="42"/>
      <x:c r="H150" s="42"/>
      <x:c r="I150" s="42"/>
      <x:c r="J150" s="42"/>
      <x:c r="K150" s="42"/>
      <x:c r="L150" s="42"/>
      <x:c r="M150" s="42"/>
    </x:row>
    <x:row r="151">
      <x:c r="A151" s="42"/>
      <x:c r="B151" s="42"/>
      <x:c r="C151" s="42"/>
      <x:c r="D151" s="42"/>
      <x:c r="E151" s="42"/>
      <x:c r="F151" s="42"/>
      <x:c r="G151" s="42"/>
      <x:c r="H151" s="42"/>
      <x:c r="I151" s="42"/>
      <x:c r="J151" s="42"/>
      <x:c r="K151" s="42"/>
      <x:c r="L151" s="42"/>
      <x:c r="M151" s="42"/>
    </x:row>
    <x:row r="152">
      <x:c r="A152" s="42"/>
      <x:c r="B152" s="42"/>
      <x:c r="C152" s="42"/>
      <x:c r="D152" s="42"/>
      <x:c r="E152" s="42"/>
      <x:c r="F152" s="42"/>
      <x:c r="G152" s="42"/>
      <x:c r="H152" s="42"/>
      <x:c r="I152" s="42"/>
      <x:c r="J152" s="42"/>
      <x:c r="K152" s="42"/>
      <x:c r="L152" s="42"/>
      <x:c r="M152" s="42"/>
    </x:row>
    <x:row r="153">
      <x:c r="A153" s="42"/>
      <x:c r="B153" s="42"/>
      <x:c r="C153" s="42"/>
      <x:c r="D153" s="42"/>
      <x:c r="E153" s="42"/>
      <x:c r="F153" s="42"/>
      <x:c r="G153" s="42"/>
      <x:c r="H153" s="42"/>
      <x:c r="I153" s="42"/>
      <x:c r="J153" s="42"/>
      <x:c r="K153" s="42"/>
      <x:c r="L153" s="42"/>
      <x:c r="M153" s="42"/>
    </x:row>
    <x:row r="154">
      <x:c r="A154" s="42"/>
      <x:c r="B154" s="42"/>
      <x:c r="C154" s="42"/>
      <x:c r="D154" s="42"/>
      <x:c r="E154" s="42"/>
      <x:c r="F154" s="42"/>
      <x:c r="G154" s="42"/>
      <x:c r="H154" s="42"/>
      <x:c r="I154" s="42"/>
      <x:c r="J154" s="42"/>
      <x:c r="K154" s="42"/>
      <x:c r="L154" s="42"/>
      <x:c r="M154" s="42"/>
    </x:row>
    <x:row r="155">
      <x:c r="A155" s="42"/>
      <x:c r="B155" s="42"/>
      <x:c r="C155" s="42"/>
      <x:c r="D155" s="42"/>
      <x:c r="E155" s="42"/>
      <x:c r="F155" s="42"/>
      <x:c r="G155" s="42"/>
      <x:c r="H155" s="42"/>
      <x:c r="I155" s="42"/>
      <x:c r="J155" s="42"/>
      <x:c r="K155" s="42"/>
      <x:c r="L155" s="42"/>
      <x:c r="M155" s="42"/>
    </x:row>
    <x:row r="156">
      <x:c r="A156" s="42"/>
      <x:c r="B156" s="42"/>
      <x:c r="C156" s="42"/>
      <x:c r="D156" s="42"/>
      <x:c r="E156" s="42"/>
      <x:c r="F156" s="42"/>
      <x:c r="G156" s="42"/>
      <x:c r="H156" s="42"/>
      <x:c r="I156" s="42"/>
      <x:c r="J156" s="42"/>
      <x:c r="K156" s="42"/>
      <x:c r="L156" s="42"/>
      <x:c r="M156" s="42"/>
    </x:row>
    <x:row r="157">
      <x:c r="A157" s="42"/>
      <x:c r="B157" s="42"/>
      <x:c r="C157" s="42"/>
      <x:c r="D157" s="42"/>
      <x:c r="E157" s="42"/>
      <x:c r="F157" s="42"/>
      <x:c r="G157" s="42"/>
      <x:c r="H157" s="42"/>
      <x:c r="I157" s="42"/>
      <x:c r="J157" s="42"/>
      <x:c r="K157" s="42"/>
      <x:c r="L157" s="42"/>
      <x:c r="M157" s="42"/>
    </x:row>
    <x:row r="158">
      <x:c r="A158" s="42"/>
      <x:c r="B158" s="42"/>
      <x:c r="C158" s="42"/>
      <x:c r="D158" s="42"/>
      <x:c r="E158" s="42"/>
      <x:c r="F158" s="42"/>
      <x:c r="G158" s="42"/>
      <x:c r="H158" s="42"/>
      <x:c r="I158" s="42"/>
      <x:c r="J158" s="42"/>
      <x:c r="K158" s="42"/>
      <x:c r="L158" s="42"/>
      <x:c r="M158" s="42"/>
    </x:row>
    <x:row r="159">
      <x:c r="A159" s="42"/>
      <x:c r="B159" s="42"/>
      <x:c r="C159" s="42"/>
      <x:c r="D159" s="42"/>
      <x:c r="E159" s="42"/>
      <x:c r="F159" s="42"/>
      <x:c r="G159" s="42"/>
      <x:c r="H159" s="42"/>
      <x:c r="I159" s="42"/>
      <x:c r="J159" s="42"/>
      <x:c r="K159" s="42"/>
      <x:c r="L159" s="42"/>
      <x:c r="M159" s="42"/>
    </x:row>
    <x:row r="160">
      <x:c r="A160" s="42"/>
      <x:c r="B160" s="42"/>
      <x:c r="C160" s="42"/>
      <x:c r="D160" s="42"/>
      <x:c r="E160" s="42"/>
      <x:c r="F160" s="42"/>
      <x:c r="G160" s="42"/>
      <x:c r="H160" s="42"/>
      <x:c r="I160" s="42"/>
      <x:c r="J160" s="42"/>
      <x:c r="K160" s="42"/>
      <x:c r="L160" s="42"/>
      <x:c r="M160" s="42"/>
    </x:row>
    <x:row r="161">
      <x:c r="A161" s="42"/>
      <x:c r="B161" s="42"/>
      <x:c r="C161" s="42"/>
      <x:c r="D161" s="42"/>
      <x:c r="E161" s="42"/>
      <x:c r="F161" s="42"/>
      <x:c r="G161" s="42"/>
      <x:c r="H161" s="42"/>
      <x:c r="I161" s="42"/>
      <x:c r="J161" s="42"/>
      <x:c r="K161" s="42"/>
      <x:c r="L161" s="42"/>
      <x:c r="M161" s="42"/>
    </x:row>
    <x:row r="162">
      <x:c r="A162" s="42"/>
      <x:c r="B162" s="42"/>
      <x:c r="C162" s="42"/>
      <x:c r="D162" s="42"/>
      <x:c r="E162" s="42"/>
      <x:c r="F162" s="42"/>
      <x:c r="G162" s="42"/>
      <x:c r="H162" s="42"/>
      <x:c r="I162" s="42"/>
      <x:c r="J162" s="42"/>
      <x:c r="K162" s="42"/>
      <x:c r="L162" s="42"/>
      <x:c r="M162" s="42"/>
    </x:row>
    <x:row r="163">
      <x:c r="A163" s="42"/>
      <x:c r="B163" s="42"/>
      <x:c r="C163" s="42"/>
      <x:c r="D163" s="42"/>
      <x:c r="E163" s="42"/>
      <x:c r="F163" s="42"/>
      <x:c r="G163" s="42"/>
      <x:c r="H163" s="42"/>
      <x:c r="I163" s="42"/>
      <x:c r="J163" s="42"/>
      <x:c r="K163" s="42"/>
      <x:c r="L163" s="42"/>
      <x:c r="M163" s="42"/>
    </x:row>
    <x:row r="164">
      <x:c r="A164" s="42"/>
      <x:c r="B164" s="42"/>
      <x:c r="C164" s="42"/>
      <x:c r="D164" s="42"/>
      <x:c r="E164" s="42"/>
      <x:c r="F164" s="42"/>
      <x:c r="G164" s="42"/>
      <x:c r="H164" s="42"/>
      <x:c r="I164" s="42"/>
      <x:c r="J164" s="42"/>
      <x:c r="K164" s="42"/>
      <x:c r="L164" s="42"/>
      <x:c r="M164" s="42"/>
    </x:row>
    <x:row r="165">
      <x:c r="A165" s="42"/>
      <x:c r="B165" s="42"/>
      <x:c r="C165" s="42"/>
      <x:c r="D165" s="42"/>
      <x:c r="E165" s="42"/>
      <x:c r="F165" s="42"/>
      <x:c r="G165" s="42"/>
      <x:c r="H165" s="42"/>
      <x:c r="I165" s="42"/>
      <x:c r="J165" s="42"/>
      <x:c r="K165" s="42"/>
      <x:c r="L165" s="42"/>
      <x:c r="M165" s="42"/>
    </x:row>
    <x:row r="166">
      <x:c r="A166" s="42"/>
      <x:c r="B166" s="42"/>
      <x:c r="C166" s="42"/>
      <x:c r="D166" s="42"/>
      <x:c r="E166" s="42"/>
      <x:c r="F166" s="42"/>
      <x:c r="G166" s="42"/>
      <x:c r="H166" s="42"/>
      <x:c r="I166" s="42"/>
      <x:c r="J166" s="42"/>
      <x:c r="K166" s="42"/>
      <x:c r="L166" s="42"/>
      <x:c r="M166" s="42"/>
    </x:row>
    <x:row r="167">
      <x:c r="A167" s="42"/>
      <x:c r="B167" s="42"/>
      <x:c r="C167" s="42"/>
      <x:c r="D167" s="42"/>
      <x:c r="E167" s="42"/>
      <x:c r="F167" s="42"/>
      <x:c r="G167" s="42"/>
      <x:c r="H167" s="42"/>
      <x:c r="I167" s="42"/>
      <x:c r="J167" s="42"/>
      <x:c r="K167" s="42"/>
      <x:c r="L167" s="42"/>
      <x:c r="M167" s="42"/>
    </x:row>
    <x:row r="168">
      <x:c r="A168" s="42"/>
      <x:c r="B168" s="42"/>
      <x:c r="C168" s="42"/>
      <x:c r="D168" s="42"/>
      <x:c r="E168" s="42"/>
      <x:c r="F168" s="42"/>
      <x:c r="G168" s="42"/>
      <x:c r="H168" s="42"/>
      <x:c r="I168" s="42"/>
      <x:c r="J168" s="42"/>
      <x:c r="K168" s="42"/>
      <x:c r="L168" s="42"/>
      <x:c r="M168" s="42"/>
    </x:row>
    <x:row r="169">
      <x:c r="A169" s="42"/>
      <x:c r="B169" s="42"/>
      <x:c r="C169" s="42"/>
      <x:c r="D169" s="42"/>
      <x:c r="E169" s="42"/>
      <x:c r="F169" s="42"/>
      <x:c r="G169" s="42"/>
      <x:c r="H169" s="42"/>
      <x:c r="I169" s="42"/>
      <x:c r="J169" s="42"/>
      <x:c r="K169" s="42"/>
      <x:c r="L169" s="42"/>
      <x:c r="M169" s="42"/>
    </x:row>
    <x:row r="170">
      <x:c r="A170" s="42"/>
      <x:c r="B170" s="42"/>
      <x:c r="C170" s="42"/>
      <x:c r="D170" s="42"/>
      <x:c r="E170" s="42"/>
      <x:c r="F170" s="42"/>
      <x:c r="G170" s="42"/>
      <x:c r="H170" s="42"/>
      <x:c r="I170" s="42"/>
      <x:c r="J170" s="42"/>
      <x:c r="K170" s="42"/>
      <x:c r="L170" s="42"/>
      <x:c r="M170" s="42"/>
    </x:row>
    <x:row r="171">
      <x:c r="A171" s="42"/>
      <x:c r="B171" s="42"/>
      <x:c r="C171" s="42"/>
      <x:c r="D171" s="42"/>
      <x:c r="E171" s="42"/>
      <x:c r="F171" s="42"/>
      <x:c r="G171" s="42"/>
      <x:c r="H171" s="42"/>
      <x:c r="I171" s="42"/>
      <x:c r="J171" s="42"/>
      <x:c r="K171" s="42"/>
      <x:c r="L171" s="42"/>
      <x:c r="M171" s="42"/>
    </x:row>
    <x:row r="172">
      <x:c r="A172" s="42"/>
      <x:c r="B172" s="42"/>
      <x:c r="C172" s="42"/>
      <x:c r="D172" s="42"/>
      <x:c r="E172" s="42"/>
      <x:c r="F172" s="42"/>
      <x:c r="G172" s="42"/>
      <x:c r="H172" s="42"/>
      <x:c r="I172" s="42"/>
      <x:c r="J172" s="42"/>
      <x:c r="K172" s="42"/>
      <x:c r="L172" s="42"/>
      <x:c r="M172" s="42"/>
    </x:row>
    <x:row r="173">
      <x:c r="A173" s="42"/>
      <x:c r="B173" s="42"/>
      <x:c r="C173" s="42"/>
      <x:c r="D173" s="42"/>
      <x:c r="E173" s="42"/>
      <x:c r="F173" s="42"/>
      <x:c r="G173" s="42"/>
      <x:c r="H173" s="42"/>
      <x:c r="I173" s="42"/>
      <x:c r="J173" s="42"/>
      <x:c r="K173" s="42"/>
      <x:c r="L173" s="42"/>
      <x:c r="M173" s="42"/>
    </x:row>
    <x:row r="174">
      <x:c r="A174" s="42"/>
      <x:c r="B174" s="42"/>
      <x:c r="C174" s="42"/>
      <x:c r="D174" s="42"/>
      <x:c r="E174" s="42"/>
      <x:c r="F174" s="42"/>
      <x:c r="G174" s="42"/>
      <x:c r="H174" s="42"/>
      <x:c r="I174" s="42"/>
      <x:c r="J174" s="42"/>
      <x:c r="K174" s="42"/>
      <x:c r="L174" s="42"/>
      <x:c r="M174" s="42"/>
    </x:row>
    <x:row r="175">
      <x:c r="A175" s="42"/>
      <x:c r="B175" s="42"/>
      <x:c r="C175" s="42"/>
      <x:c r="D175" s="42"/>
      <x:c r="E175" s="42"/>
      <x:c r="F175" s="42"/>
      <x:c r="G175" s="42"/>
      <x:c r="H175" s="42"/>
      <x:c r="I175" s="42"/>
      <x:c r="J175" s="42"/>
      <x:c r="K175" s="42"/>
      <x:c r="L175" s="42"/>
      <x:c r="M175" s="42"/>
    </x:row>
    <x:row r="176">
      <x:c r="A176" s="42"/>
      <x:c r="B176" s="42"/>
      <x:c r="C176" s="42"/>
      <x:c r="D176" s="42"/>
      <x:c r="E176" s="42"/>
      <x:c r="F176" s="42"/>
      <x:c r="G176" s="42"/>
      <x:c r="H176" s="42"/>
      <x:c r="I176" s="42"/>
      <x:c r="J176" s="42"/>
      <x:c r="K176" s="42"/>
      <x:c r="L176" s="42"/>
      <x:c r="M176" s="42"/>
    </x:row>
    <x:row r="177">
      <x:c r="A177" s="42"/>
      <x:c r="B177" s="42"/>
      <x:c r="C177" s="42"/>
      <x:c r="D177" s="42"/>
      <x:c r="E177" s="42"/>
      <x:c r="F177" s="42"/>
      <x:c r="G177" s="42"/>
      <x:c r="H177" s="42"/>
      <x:c r="I177" s="42"/>
      <x:c r="J177" s="42"/>
      <x:c r="K177" s="42"/>
      <x:c r="L177" s="42"/>
      <x:c r="M177" s="42"/>
    </x:row>
    <x:row r="178">
      <x:c r="A178" s="42"/>
      <x:c r="B178" s="42"/>
      <x:c r="C178" s="42"/>
      <x:c r="D178" s="42"/>
      <x:c r="E178" s="42"/>
      <x:c r="F178" s="42"/>
      <x:c r="G178" s="42"/>
      <x:c r="H178" s="42"/>
      <x:c r="I178" s="42"/>
      <x:c r="J178" s="42"/>
      <x:c r="K178" s="42"/>
      <x:c r="L178" s="42"/>
      <x:c r="M178" s="42"/>
    </x:row>
    <x:row r="179">
      <x:c r="A179" s="42"/>
      <x:c r="B179" s="42"/>
      <x:c r="C179" s="42"/>
      <x:c r="D179" s="42"/>
      <x:c r="E179" s="42"/>
      <x:c r="F179" s="42"/>
      <x:c r="G179" s="42"/>
      <x:c r="H179" s="42"/>
      <x:c r="I179" s="42"/>
      <x:c r="J179" s="42"/>
      <x:c r="K179" s="42"/>
      <x:c r="L179" s="42"/>
      <x:c r="M179" s="42"/>
    </x:row>
    <x:row r="180">
      <x:c r="A180" s="42"/>
      <x:c r="B180" s="42"/>
      <x:c r="C180" s="42"/>
      <x:c r="D180" s="42"/>
      <x:c r="E180" s="42"/>
      <x:c r="F180" s="42"/>
      <x:c r="G180" s="42"/>
      <x:c r="H180" s="42"/>
      <x:c r="I180" s="42"/>
      <x:c r="J180" s="42"/>
      <x:c r="K180" s="42"/>
      <x:c r="L180" s="42"/>
      <x:c r="M180" s="42"/>
    </x:row>
    <x:row r="181">
      <x:c r="A181" s="42"/>
      <x:c r="B181" s="42"/>
      <x:c r="C181" s="42"/>
      <x:c r="D181" s="42"/>
      <x:c r="E181" s="42"/>
      <x:c r="F181" s="42"/>
      <x:c r="G181" s="42"/>
      <x:c r="H181" s="42"/>
      <x:c r="I181" s="42"/>
      <x:c r="J181" s="42"/>
      <x:c r="K181" s="42"/>
      <x:c r="L181" s="42"/>
      <x:c r="M181" s="42"/>
    </x:row>
    <x:row r="182">
      <x:c r="A182" s="42"/>
      <x:c r="B182" s="42"/>
      <x:c r="C182" s="42"/>
      <x:c r="D182" s="42"/>
      <x:c r="E182" s="42"/>
      <x:c r="F182" s="42"/>
      <x:c r="G182" s="42"/>
      <x:c r="H182" s="42"/>
      <x:c r="I182" s="42"/>
      <x:c r="J182" s="42"/>
      <x:c r="K182" s="42"/>
      <x:c r="L182" s="42"/>
      <x:c r="M182" s="42"/>
    </x:row>
    <x:row r="183">
      <x:c r="A183" s="42"/>
      <x:c r="B183" s="42"/>
      <x:c r="C183" s="42"/>
      <x:c r="D183" s="42"/>
      <x:c r="E183" s="42"/>
      <x:c r="F183" s="42"/>
      <x:c r="G183" s="42"/>
      <x:c r="H183" s="42"/>
      <x:c r="I183" s="42"/>
      <x:c r="J183" s="42"/>
      <x:c r="K183" s="42"/>
      <x:c r="L183" s="42"/>
      <x:c r="M183" s="42"/>
    </x:row>
    <x:row r="184">
      <x:c r="A184" s="42"/>
      <x:c r="B184" s="42"/>
      <x:c r="C184" s="42"/>
      <x:c r="D184" s="42"/>
      <x:c r="E184" s="42"/>
      <x:c r="F184" s="42"/>
      <x:c r="G184" s="42"/>
      <x:c r="H184" s="42"/>
      <x:c r="I184" s="42"/>
      <x:c r="J184" s="42"/>
      <x:c r="K184" s="42"/>
      <x:c r="L184" s="42"/>
      <x:c r="M184" s="42"/>
    </x:row>
    <x:row r="185">
      <x:c r="A185" s="42"/>
      <x:c r="B185" s="42"/>
      <x:c r="C185" s="42"/>
      <x:c r="D185" s="42"/>
      <x:c r="E185" s="42"/>
      <x:c r="F185" s="42"/>
      <x:c r="G185" s="42"/>
      <x:c r="H185" s="42"/>
      <x:c r="I185" s="42"/>
      <x:c r="J185" s="42"/>
      <x:c r="K185" s="42"/>
      <x:c r="L185" s="42"/>
      <x:c r="M185" s="42"/>
    </x:row>
    <x:row r="186">
      <x:c r="A186" s="42"/>
      <x:c r="B186" s="42"/>
      <x:c r="C186" s="42"/>
      <x:c r="D186" s="42"/>
      <x:c r="E186" s="42"/>
      <x:c r="F186" s="42"/>
      <x:c r="G186" s="42"/>
      <x:c r="H186" s="42"/>
      <x:c r="I186" s="42"/>
      <x:c r="J186" s="42"/>
      <x:c r="K186" s="42"/>
      <x:c r="L186" s="42"/>
      <x:c r="M186" s="42"/>
    </x:row>
    <x:row r="187">
      <x:c r="A187" s="42"/>
      <x:c r="B187" s="42"/>
      <x:c r="C187" s="42"/>
      <x:c r="D187" s="42"/>
      <x:c r="E187" s="42"/>
      <x:c r="F187" s="42"/>
      <x:c r="G187" s="42"/>
      <x:c r="H187" s="42"/>
      <x:c r="I187" s="42"/>
      <x:c r="J187" s="42"/>
      <x:c r="K187" s="42"/>
      <x:c r="L187" s="42"/>
      <x:c r="M187" s="42"/>
    </x:row>
    <x:row r="188">
      <x:c r="A188" s="42"/>
      <x:c r="B188" s="42"/>
      <x:c r="C188" s="42"/>
      <x:c r="D188" s="42"/>
      <x:c r="E188" s="42"/>
      <x:c r="F188" s="42"/>
      <x:c r="G188" s="42"/>
      <x:c r="H188" s="42"/>
      <x:c r="I188" s="42"/>
      <x:c r="J188" s="42"/>
      <x:c r="K188" s="42"/>
      <x:c r="L188" s="42"/>
      <x:c r="M188" s="42"/>
    </x:row>
    <x:row r="189">
      <x:c r="A189" s="42"/>
      <x:c r="B189" s="42"/>
      <x:c r="C189" s="42"/>
      <x:c r="D189" s="42"/>
      <x:c r="E189" s="42"/>
      <x:c r="F189" s="42"/>
      <x:c r="G189" s="42"/>
      <x:c r="H189" s="42"/>
      <x:c r="I189" s="42"/>
      <x:c r="J189" s="42"/>
      <x:c r="K189" s="42"/>
      <x:c r="L189" s="42"/>
      <x:c r="M189" s="42"/>
    </x:row>
    <x:row r="190">
      <x:c r="A190" s="42"/>
      <x:c r="B190" s="42"/>
      <x:c r="C190" s="42"/>
      <x:c r="D190" s="42"/>
      <x:c r="E190" s="42"/>
      <x:c r="F190" s="42"/>
      <x:c r="G190" s="42"/>
      <x:c r="H190" s="42"/>
      <x:c r="I190" s="42"/>
      <x:c r="J190" s="42"/>
      <x:c r="K190" s="42"/>
      <x:c r="L190" s="42"/>
      <x:c r="M190" s="42"/>
    </x:row>
    <x:row r="191">
      <x:c r="A191" s="42"/>
      <x:c r="B191" s="42"/>
      <x:c r="C191" s="42"/>
      <x:c r="D191" s="42"/>
      <x:c r="E191" s="42"/>
      <x:c r="F191" s="42"/>
      <x:c r="G191" s="42"/>
      <x:c r="H191" s="42"/>
      <x:c r="I191" s="42"/>
      <x:c r="J191" s="42"/>
      <x:c r="K191" s="42"/>
      <x:c r="L191" s="42"/>
      <x:c r="M191" s="42"/>
    </x:row>
    <x:row r="192">
      <x:c r="A192" s="42"/>
      <x:c r="B192" s="42"/>
      <x:c r="C192" s="42"/>
      <x:c r="D192" s="42"/>
      <x:c r="E192" s="42"/>
      <x:c r="F192" s="42"/>
      <x:c r="G192" s="42"/>
      <x:c r="H192" s="42"/>
      <x:c r="I192" s="42"/>
      <x:c r="J192" s="42"/>
      <x:c r="K192" s="42"/>
      <x:c r="L192" s="42"/>
      <x:c r="M192" s="42"/>
    </x:row>
    <x:row r="193">
      <x:c r="A193" s="42"/>
      <x:c r="B193" s="42"/>
      <x:c r="C193" s="42"/>
      <x:c r="D193" s="42"/>
      <x:c r="E193" s="42"/>
      <x:c r="F193" s="42"/>
      <x:c r="G193" s="42"/>
      <x:c r="H193" s="42"/>
      <x:c r="I193" s="42"/>
      <x:c r="J193" s="42"/>
      <x:c r="K193" s="42"/>
      <x:c r="L193" s="42"/>
      <x:c r="M193" s="42"/>
    </x:row>
    <x:row r="194">
      <x:c r="A194" s="42"/>
      <x:c r="B194" s="42"/>
      <x:c r="C194" s="42"/>
      <x:c r="D194" s="42"/>
      <x:c r="E194" s="42"/>
      <x:c r="F194" s="42"/>
      <x:c r="G194" s="42"/>
      <x:c r="H194" s="42"/>
      <x:c r="I194" s="42"/>
      <x:c r="J194" s="42"/>
      <x:c r="K194" s="42"/>
      <x:c r="L194" s="42"/>
      <x:c r="M194" s="42"/>
    </x:row>
    <x:row r="195">
      <x:c r="A195" s="42"/>
      <x:c r="B195" s="42"/>
      <x:c r="C195" s="42"/>
      <x:c r="D195" s="42"/>
      <x:c r="E195" s="42"/>
      <x:c r="F195" s="42"/>
      <x:c r="G195" s="42"/>
      <x:c r="H195" s="42"/>
      <x:c r="I195" s="42"/>
      <x:c r="J195" s="42"/>
      <x:c r="K195" s="42"/>
      <x:c r="L195" s="42"/>
      <x:c r="M195" s="42"/>
    </x:row>
    <x:row r="196">
      <x:c r="A196" s="42"/>
      <x:c r="B196" s="42"/>
      <x:c r="C196" s="42"/>
      <x:c r="D196" s="42"/>
      <x:c r="E196" s="42"/>
      <x:c r="F196" s="42"/>
      <x:c r="G196" s="42"/>
      <x:c r="H196" s="42"/>
      <x:c r="I196" s="42"/>
      <x:c r="J196" s="42"/>
      <x:c r="K196" s="42"/>
      <x:c r="L196" s="42"/>
      <x:c r="M196" s="42"/>
    </x:row>
    <x:row r="197">
      <x:c r="A197" s="42"/>
      <x:c r="B197" s="42"/>
      <x:c r="C197" s="42"/>
      <x:c r="D197" s="42"/>
      <x:c r="E197" s="42"/>
      <x:c r="F197" s="42"/>
      <x:c r="G197" s="42"/>
      <x:c r="H197" s="42"/>
      <x:c r="I197" s="42"/>
      <x:c r="J197" s="42"/>
      <x:c r="K197" s="42"/>
      <x:c r="L197" s="42"/>
      <x:c r="M197" s="42"/>
    </x:row>
    <x:row r="198">
      <x:c r="A198" s="42"/>
      <x:c r="B198" s="42"/>
      <x:c r="C198" s="42"/>
      <x:c r="D198" s="42"/>
      <x:c r="E198" s="42"/>
      <x:c r="F198" s="42"/>
      <x:c r="G198" s="42"/>
      <x:c r="H198" s="42"/>
      <x:c r="I198" s="42"/>
      <x:c r="J198" s="42"/>
      <x:c r="K198" s="42"/>
      <x:c r="L198" s="42"/>
      <x:c r="M198" s="42"/>
    </x:row>
    <x:row r="199">
      <x:c r="A199" s="42"/>
      <x:c r="B199" s="42"/>
      <x:c r="C199" s="42"/>
      <x:c r="D199" s="42"/>
      <x:c r="E199" s="42"/>
      <x:c r="F199" s="42"/>
      <x:c r="G199" s="42"/>
      <x:c r="H199" s="42"/>
      <x:c r="I199" s="42"/>
      <x:c r="J199" s="42"/>
      <x:c r="K199" s="42"/>
      <x:c r="L199" s="42"/>
      <x:c r="M199" s="42"/>
    </x:row>
    <x:row r="200">
      <x:c r="A200" s="42"/>
      <x:c r="B200" s="42"/>
      <x:c r="C200" s="42"/>
      <x:c r="D200" s="42"/>
      <x:c r="E200" s="42"/>
      <x:c r="F200" s="42"/>
      <x:c r="G200" s="42"/>
      <x:c r="H200" s="42"/>
      <x:c r="I200" s="42"/>
      <x:c r="J200" s="42"/>
      <x:c r="K200" s="42"/>
      <x:c r="L200" s="42"/>
      <x:c r="M200" s="42"/>
    </x:row>
  </x:sheetData>
  <x:mergeCells>
    <x:mergeCell ref="A1:M1"/>
    <x:mergeCell ref="A2:M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" hidden="0" customWidth="1"/>
    <x:col min="2" max="2" width="11.880000114440918" hidden="0" customWidth="1"/>
    <x:col min="3" max="3" width="11.880000114440918" hidden="0" customWidth="1"/>
    <x:col min="4" max="4" width="11.880000114440918" hidden="0" customWidth="1"/>
    <x:col min="5" max="5" width="11.880000114440918" hidden="0" customWidth="1"/>
    <x:col min="6" max="6" width="11.880000114440918" hidden="0" customWidth="1"/>
    <x:col min="7" max="7" width="11.880000114440918" hidden="0" customWidth="1"/>
    <x:col min="8" max="8" width="11.880000114440918" hidden="0" customWidth="1"/>
    <x:col min="9" max="9" width="11.880000114440918" hidden="0" customWidth="1"/>
    <x:col min="10" max="10" width="11.880000114440918" hidden="0" customWidth="1"/>
    <x:col min="11" max="11" width="11.880000114440918" hidden="0" customWidth="1"/>
    <x:col min="12" max="12" width="11.880000114440918" hidden="0" customWidth="1"/>
    <x:col min="13" max="13" width="11.880000114440918" hidden="0" customWidth="1"/>
    <x:col min="15" max="15" width="15" hidden="0" customWidth="1"/>
    <x:col min="16" max="16" width="13.75" hidden="0" customWidth="1"/>
    <x:col min="17" max="17" width="13.75" hidden="0" customWidth="1"/>
    <x:col min="18" max="18" width="13.75" hidden="0" customWidth="1"/>
    <x:col min="19" max="19" width="13.75" hidden="0" customWidth="1"/>
  </x:cols>
  <x:sheetData>
    <x:row r="1" ht="25.5" customHeight="1">
      <x:c r="A1" s="41" t="str">
        <x:v>Лист 7. MRR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</x:row>
    <x:row r="2" ht="22.5" customHeight="1">
      <x:c r="A2" s="43" t="str">
        <x:v>Monthly Recurring Revenue по тарифам и общий темп роста регулярной выручки.</x:v>
      </x:c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</x:row>
    <x:row r="3">
      <x:c r="A3" s="42"/>
      <x:c r="B3" s="42"/>
      <x:c r="C3" s="42"/>
      <x:c r="D3" s="42"/>
      <x:c r="E3" s="42"/>
      <x:c r="F3" s="42"/>
      <x:c r="G3" s="42"/>
      <x:c r="H3" s="42"/>
      <x:c r="I3" s="42"/>
      <x:c r="J3" s="42"/>
      <x:c r="K3" s="42"/>
      <x:c r="L3" s="42"/>
      <x:c r="M3" s="42"/>
    </x:row>
    <x:row r="4">
      <x:c r="A4" s="44" t="str">
        <x:v>Показатель</x:v>
      </x:c>
      <x:c r="B4" s="44" t="str">
        <x:v>М1</x:v>
      </x:c>
      <x:c r="C4" s="44" t="str">
        <x:v>М2</x:v>
      </x:c>
      <x:c r="D4" s="44" t="str">
        <x:v>М3</x:v>
      </x:c>
      <x:c r="E4" s="44" t="str">
        <x:v>М4</x:v>
      </x:c>
      <x:c r="F4" s="44" t="str">
        <x:v>М5</x:v>
      </x:c>
      <x:c r="G4" s="44" t="str">
        <x:v>М6</x:v>
      </x:c>
      <x:c r="H4" s="44" t="str">
        <x:v>М7</x:v>
      </x:c>
      <x:c r="I4" s="44" t="str">
        <x:v>М8</x:v>
      </x:c>
      <x:c r="J4" s="44" t="str">
        <x:v>М9</x:v>
      </x:c>
      <x:c r="K4" s="44" t="str">
        <x:v>М10</x:v>
      </x:c>
      <x:c r="L4" s="44" t="str">
        <x:v>М11</x:v>
      </x:c>
      <x:c r="M4" s="44" t="str">
        <x:v>М12</x:v>
      </x:c>
      <x:c r="O4" s="13" t="str">
        <x:v>Месяц</x:v>
      </x:c>
      <x:c r="P4" s="13" t="str">
        <x:v>Starter</x:v>
      </x:c>
      <x:c r="Q4" s="13" t="str">
        <x:v>Pro</x:v>
      </x:c>
      <x:c r="R4" s="13" t="str">
        <x:v>MAX</x:v>
      </x:c>
      <x:c r="S4" s="13" t="str">
        <x:v>Total MRR</x:v>
      </x:c>
    </x:row>
    <x:row r="5">
      <x:c r="A5" s="45" t="str">
        <x:v>Starter MRR</x:v>
      </x:c>
      <x:c r="B5" s="54" t="n">
        <x:f>'Доходы'!B7</x:f>
        <x:v>189.14454</x:v>
      </x:c>
      <x:c r="C5" s="54" t="n">
        <x:f>'Доходы'!C7</x:f>
        <x:v>567.43362</x:v>
      </x:c>
      <x:c r="D5" s="54" t="n">
        <x:f>'Доходы'!D7</x:f>
        <x:v>1513.15632</x:v>
      </x:c>
      <x:c r="E5" s="54" t="n">
        <x:f>'Доходы'!E7</x:f>
        <x:v>3120.88491</x:v>
      </x:c>
      <x:c r="F5" s="54" t="n">
        <x:f>'Доходы'!F7</x:f>
        <x:v>6241.76982</x:v>
      </x:c>
      <x:c r="G5" s="54" t="n">
        <x:f>'Доходы'!G7</x:f>
        <x:v>12294.3951</x:v>
      </x:c>
      <x:c r="H5" s="54" t="n">
        <x:f>'Доходы'!H7</x:f>
        <x:v>22035.338910000002</x:v>
      </x:c>
      <x:c r="I5" s="54" t="n">
        <x:f>'Доходы'!I7</x:f>
        <x:v>37923.48027</x:v>
      </x:c>
      <x:c r="J5" s="54" t="n">
        <x:f>'Доходы'!J7</x:f>
        <x:v>59769.674640000005</x:v>
      </x:c>
      <x:c r="K5" s="54" t="n">
        <x:f>'Доходы'!K7</x:f>
        <x:v>90411.09012000001</x:v>
      </x:c>
      <x:c r="L5" s="54" t="n">
        <x:f>'Доходы'!L7</x:f>
        <x:v>128050.85358000001</x:v>
      </x:c>
      <x:c r="M5" s="54" t="n">
        <x:f>'Доходы'!M7</x:f>
        <x:v>172688.96502</x:v>
      </x:c>
      <x:c r="O5" s="16" t="str">
        <x:f>B$4</x:f>
        <x:v>М1</x:v>
      </x:c>
      <x:c r="P5" s="26" t="n">
        <x:f>B$5</x:f>
        <x:v>189.14454</x:v>
      </x:c>
      <x:c r="Q5" s="26" t="n">
        <x:f>B$6</x:f>
        <x:v>189.14454</x:v>
      </x:c>
      <x:c r="R5" s="26" t="n">
        <x:f>B$7</x:f>
        <x:v>0</x:v>
      </x:c>
      <x:c r="S5" s="26" t="n">
        <x:f>B$9</x:f>
        <x:v>397.203534</x:v>
      </x:c>
    </x:row>
    <x:row r="6">
      <x:c r="A6" s="45" t="str">
        <x:v>Pro MRR</x:v>
      </x:c>
      <x:c r="B6" s="54" t="n">
        <x:f>'Доходы'!B10</x:f>
        <x:v>189.14454</x:v>
      </x:c>
      <x:c r="C6" s="54" t="n">
        <x:f>'Доходы'!C10</x:f>
        <x:v>378.28908</x:v>
      </x:c>
      <x:c r="D6" s="54" t="n">
        <x:f>'Доходы'!D10</x:f>
        <x:v>1134.86724</x:v>
      </x:c>
      <x:c r="E6" s="54" t="n">
        <x:f>'Доходы'!E10</x:f>
        <x:v>2458.8790200000003</x:v>
      </x:c>
      <x:c r="F6" s="54" t="n">
        <x:f>'Доходы'!F10</x:f>
        <x:v>5485.19166</x:v>
      </x:c>
      <x:c r="G6" s="54" t="n">
        <x:f>'Доходы'!G10</x:f>
        <x:v>10970.38332</x:v>
      </x:c>
      <x:c r="H6" s="54" t="n">
        <x:f>'Доходы'!H10</x:f>
        <x:v>20049.32124</x:v>
      </x:c>
      <x:c r="I6" s="54" t="n">
        <x:f>'Доходы'!I10</x:f>
        <x:v>35180.88444</x:v>
      </x:c>
      <x:c r="J6" s="54" t="n">
        <x:f>'Доходы'!J10</x:f>
        <x:v>57689.0847</x:v>
      </x:c>
      <x:c r="K6" s="54" t="n">
        <x:f>'Доходы'!K10</x:f>
        <x:v>91167.66828</x:v>
      </x:c>
      <x:c r="L6" s="54" t="n">
        <x:f>'Доходы'!L10</x:f>
        <x:v>135616.63518</x:v>
      </x:c>
      <x:c r="M6" s="54" t="n">
        <x:f>'Доходы'!M10</x:f>
        <x:v>192549.14172</x:v>
      </x:c>
      <x:c r="O6" s="16" t="str">
        <x:f>C$4</x:f>
        <x:v>М2</x:v>
      </x:c>
      <x:c r="P6" s="26" t="n">
        <x:f>C$5</x:f>
        <x:v>567.43362</x:v>
      </x:c>
      <x:c r="Q6" s="26" t="n">
        <x:f>C$6</x:f>
        <x:v>378.28908</x:v>
      </x:c>
      <x:c r="R6" s="26" t="n">
        <x:f>C$7</x:f>
        <x:v>0</x:v>
      </x:c>
      <x:c r="S6" s="26" t="n">
        <x:f>C$9</x:f>
        <x:v>993.0088350000001</x:v>
      </x:c>
    </x:row>
    <x:row r="7">
      <x:c r="A7" s="45" t="str">
        <x:v>MAX MRR</x:v>
      </x:c>
      <x:c r="B7" s="54" t="n">
        <x:f>'Доходы'!B13</x:f>
        <x:v>0</x:v>
      </x:c>
      <x:c r="C7" s="54" t="n">
        <x:f>'Доходы'!C13</x:f>
        <x:v>0</x:v>
      </x:c>
      <x:c r="D7" s="54" t="n">
        <x:f>'Доходы'!D13</x:f>
        <x:v>0</x:v>
      </x:c>
      <x:c r="E7" s="54" t="n">
        <x:f>'Доходы'!E13</x:f>
        <x:v>378.28908</x:v>
      </x:c>
      <x:c r="F7" s="54" t="n">
        <x:f>'Доходы'!F13</x:f>
        <x:v>1134.86724</x:v>
      </x:c>
      <x:c r="G7" s="54" t="n">
        <x:f>'Доходы'!G13</x:f>
        <x:v>2648.02356</x:v>
      </x:c>
      <x:c r="H7" s="54" t="n">
        <x:f>'Доходы'!H13</x:f>
        <x:v>5296.04712</x:v>
      </x:c>
      <x:c r="I7" s="54" t="n">
        <x:f>'Доходы'!I13</x:f>
        <x:v>9835.516080000001</x:v>
      </x:c>
      <x:c r="J7" s="54" t="n">
        <x:f>'Доходы'!J13</x:f>
        <x:v>16644.71952</x:v>
      </x:c>
      <x:c r="K7" s="54" t="n">
        <x:f>'Доходы'!K13</x:f>
        <x:v>27236.81376</x:v>
      </x:c>
      <x:c r="L7" s="54" t="n">
        <x:f>'Доходы'!L13</x:f>
        <x:v>43124.95512</x:v>
      </x:c>
      <x:c r="M7" s="54" t="n">
        <x:f>'Доходы'!M13</x:f>
        <x:v>63930.85452</x:v>
      </x:c>
      <x:c r="O7" s="16" t="str">
        <x:f>D$4</x:f>
        <x:v>М3</x:v>
      </x:c>
      <x:c r="P7" s="26" t="n">
        <x:f>D$5</x:f>
        <x:v>1513.15632</x:v>
      </x:c>
      <x:c r="Q7" s="26" t="n">
        <x:f>D$6</x:f>
        <x:v>1134.86724</x:v>
      </x:c>
      <x:c r="R7" s="26" t="n">
        <x:f>D$7</x:f>
        <x:v>0</x:v>
      </x:c>
      <x:c r="S7" s="26" t="n">
        <x:f>D$9</x:f>
        <x:v>2780.424738</x:v>
      </x:c>
    </x:row>
    <x:row r="8">
      <x:c r="A8" s="45" t="str">
        <x:v>Add-on token revenue</x:v>
      </x:c>
      <x:c r="B8" s="54" t="n">
        <x:f>'Доходы'!B16</x:f>
        <x:v>18.914454000000003</x:v>
      </x:c>
      <x:c r="C8" s="54" t="n">
        <x:f>'Доходы'!C16</x:f>
        <x:v>47.286135</x:v>
      </x:c>
      <x:c r="D8" s="54" t="n">
        <x:f>'Доходы'!D16</x:f>
        <x:v>132.40117800000002</x:v>
      </x:c>
      <x:c r="E8" s="54" t="n">
        <x:f>'Доходы'!E16</x:f>
        <x:v>297.9026505000001</x:v>
      </x:c>
      <x:c r="F8" s="54" t="n">
        <x:f>'Доходы'!F16</x:f>
        <x:v>643.0914360000002</x:v>
      </x:c>
      <x:c r="G8" s="54" t="n">
        <x:f>'Доходы'!G16</x:f>
        <x:v>1295.6400990000002</x:v>
      </x:c>
      <x:c r="H8" s="54" t="n">
        <x:f>'Доходы'!H16</x:f>
        <x:v>2369.0353635000006</x:v>
      </x:c>
      <x:c r="I8" s="54" t="n">
        <x:f>'Доходы'!I16</x:f>
        <x:v>4146.9940395</x:v>
      </x:c>
      <x:c r="J8" s="54" t="n">
        <x:f>'Доходы'!J16</x:f>
        <x:v>6705.173943000001</x:v>
      </x:c>
      <x:c r="K8" s="54" t="n">
        <x:f>'Доходы'!K16</x:f>
        <x:v>10440.778608</x:v>
      </x:c>
      <x:c r="L8" s="54" t="n">
        <x:f>'Доходы'!L16</x:f>
        <x:v>15339.622194000003</x:v>
      </x:c>
      <x:c r="M8" s="54" t="n">
        <x:f>'Доходы'!M16</x:f>
        <x:v>21458.448063000003</x:v>
      </x:c>
      <x:c r="O8" s="16" t="str">
        <x:f>E$4</x:f>
        <x:v>М4</x:v>
      </x:c>
      <x:c r="P8" s="26" t="n">
        <x:f>E$5</x:f>
        <x:v>3120.88491</x:v>
      </x:c>
      <x:c r="Q8" s="26" t="n">
        <x:f>E$6</x:f>
        <x:v>2458.8790200000003</x:v>
      </x:c>
      <x:c r="R8" s="26" t="n">
        <x:f>E$7</x:f>
        <x:v>378.28908</x:v>
      </x:c>
      <x:c r="S8" s="26" t="n">
        <x:f>E$9</x:f>
        <x:v>6255.955660500002</x:v>
      </x:c>
    </x:row>
    <x:row r="9">
      <x:c r="A9" s="45" t="str">
        <x:v>Total MRR</x:v>
      </x:c>
      <x:c r="B9" s="54" t="n">
        <x:f>'Доходы'!B17</x:f>
        <x:v>397.203534</x:v>
      </x:c>
      <x:c r="C9" s="54" t="n">
        <x:f>'Доходы'!C17</x:f>
        <x:v>993.0088350000001</x:v>
      </x:c>
      <x:c r="D9" s="54" t="n">
        <x:f>'Доходы'!D17</x:f>
        <x:v>2780.424738</x:v>
      </x:c>
      <x:c r="E9" s="54" t="n">
        <x:f>'Доходы'!E17</x:f>
        <x:v>6255.955660500002</x:v>
      </x:c>
      <x:c r="F9" s="54" t="n">
        <x:f>'Доходы'!F17</x:f>
        <x:v>13504.920156000002</x:v>
      </x:c>
      <x:c r="G9" s="54" t="n">
        <x:f>'Доходы'!G17</x:f>
        <x:v>27208.442079000004</x:v>
      </x:c>
      <x:c r="H9" s="54" t="n">
        <x:f>'Доходы'!H17</x:f>
        <x:v>49749.742633500005</x:v>
      </x:c>
      <x:c r="I9" s="54" t="n">
        <x:f>'Доходы'!I17</x:f>
        <x:v>87086.8748295</x:v>
      </x:c>
      <x:c r="J9" s="54" t="n">
        <x:f>'Доходы'!J17</x:f>
        <x:v>140808.652803</x:v>
      </x:c>
      <x:c r="K9" s="54" t="n">
        <x:f>'Доходы'!K17</x:f>
        <x:v>219256.35076799997</x:v>
      </x:c>
      <x:c r="L9" s="54" t="n">
        <x:f>'Доходы'!L17</x:f>
        <x:v>322132.06607400003</x:v>
      </x:c>
      <x:c r="M9" s="54" t="n">
        <x:f>'Доходы'!M17</x:f>
        <x:v>450627.409323</x:v>
      </x:c>
      <x:c r="O9" s="16" t="str">
        <x:f>F$4</x:f>
        <x:v>М5</x:v>
      </x:c>
      <x:c r="P9" s="26" t="n">
        <x:f>F$5</x:f>
        <x:v>6241.76982</x:v>
      </x:c>
      <x:c r="Q9" s="26" t="n">
        <x:f>F$6</x:f>
        <x:v>5485.19166</x:v>
      </x:c>
      <x:c r="R9" s="26" t="n">
        <x:f>F$7</x:f>
        <x:v>1134.86724</x:v>
      </x:c>
      <x:c r="S9" s="26" t="n">
        <x:f>F$9</x:f>
        <x:v>13504.920156000002</x:v>
      </x:c>
    </x:row>
    <x:row r="10">
      <x:c r="A10" s="45" t="str">
        <x:v>Net New MRR</x:v>
      </x:c>
      <x:c r="B10" s="54" t="n">
        <x:f>B9</x:f>
        <x:v>397.203534</x:v>
      </x:c>
      <x:c r="C10" s="54" t="n">
        <x:f>C9-B9</x:f>
        <x:v>595.8053010000001</x:v>
      </x:c>
      <x:c r="D10" s="54" t="n">
        <x:f>D9-C9</x:f>
        <x:v>1787.415903</x:v>
      </x:c>
      <x:c r="E10" s="54" t="n">
        <x:f>E9-D9</x:f>
        <x:v>3475.5309225000015</x:v>
      </x:c>
      <x:c r="F10" s="54" t="n">
        <x:f>F9-E9</x:f>
        <x:v>7248.9644955</x:v>
      </x:c>
      <x:c r="G10" s="54" t="n">
        <x:f>G9-F9</x:f>
        <x:v>13703.521923000002</x:v>
      </x:c>
      <x:c r="H10" s="54" t="n">
        <x:f>H9-G9</x:f>
        <x:v>22541.3005545</x:v>
      </x:c>
      <x:c r="I10" s="54" t="n">
        <x:f>I9-H9</x:f>
        <x:v>37337.13219599999</x:v>
      </x:c>
      <x:c r="J10" s="54" t="n">
        <x:f>J9-I9</x:f>
        <x:v>53721.77797350001</x:v>
      </x:c>
      <x:c r="K10" s="54" t="n">
        <x:f>K9-J9</x:f>
        <x:v>78447.69796499997</x:v>
      </x:c>
      <x:c r="L10" s="54" t="n">
        <x:f>L9-K9</x:f>
        <x:v>102875.71530600006</x:v>
      </x:c>
      <x:c r="M10" s="54" t="n">
        <x:f>M9-L9</x:f>
        <x:v>128495.34324899997</x:v>
      </x:c>
      <x:c r="O10" s="16" t="str">
        <x:f>G$4</x:f>
        <x:v>М6</x:v>
      </x:c>
      <x:c r="P10" s="26" t="n">
        <x:f>G$5</x:f>
        <x:v>12294.3951</x:v>
      </x:c>
      <x:c r="Q10" s="26" t="n">
        <x:f>G$6</x:f>
        <x:v>10970.38332</x:v>
      </x:c>
      <x:c r="R10" s="26" t="n">
        <x:f>G$7</x:f>
        <x:v>2648.02356</x:v>
      </x:c>
      <x:c r="S10" s="26" t="n">
        <x:f>G$9</x:f>
        <x:v>27208.442079000004</x:v>
      </x:c>
    </x:row>
    <x:row r="11">
      <x:c r="A11" s="45" t="str">
        <x:v>MRR Growth</x:v>
      </x:c>
      <x:c r="B11" s="63" t="n">
        <x:f>0</x:f>
        <x:v>0</x:v>
      </x:c>
      <x:c r="C11" s="63" t="n">
        <x:f>IFERROR(C10/B9,0)</x:f>
        <x:v>1.5000000000000002</x:v>
      </x:c>
      <x:c r="D11" s="63" t="n">
        <x:f>IFERROR(D10/C9,0)</x:f>
        <x:v>1.7999999999999998</x:v>
      </x:c>
      <x:c r="E11" s="63" t="n">
        <x:f>IFERROR(E10/D9,0)</x:f>
        <x:v>1.2500000000000004</x:v>
      </x:c>
      <x:c r="F11" s="63" t="n">
        <x:f>IFERROR(F10/E9,0)</x:f>
        <x:v>1.1587301587301584</x:v>
      </x:c>
      <x:c r="G11" s="63" t="n">
        <x:f>IFERROR(G10/F9,0)</x:f>
        <x:v>1.0147058823529411</x:v>
      </x:c>
      <x:c r="H11" s="63" t="n">
        <x:f>IFERROR(H10/G9,0)</x:f>
        <x:v>0.8284671532846715</x:v>
      </x:c>
      <x:c r="I11" s="63" t="n">
        <x:f>IFERROR(I10/H9,0)</x:f>
        <x:v>0.7504990019960077</x:v>
      </x:c>
      <x:c r="J11" s="63" t="n">
        <x:f>IFERROR(J10/I9,0)</x:f>
        <x:v>0.6168757126567846</x:v>
      </x:c>
      <x:c r="K11" s="63" t="n">
        <x:f>IFERROR(K10/J9,0)</x:f>
        <x:v>0.557122708039492</x:v>
      </x:c>
      <x:c r="L11" s="63" t="n">
        <x:f>IFERROR(L10/K9,0)</x:f>
        <x:v>0.46920289855072495</x:v>
      </x:c>
      <x:c r="M11" s="63" t="n">
        <x:f>IFERROR(M10/L9,0)</x:f>
        <x:v>0.39889025893958063</x:v>
      </x:c>
      <x:c r="O11" s="16" t="str">
        <x:f>H$4</x:f>
        <x:v>М7</x:v>
      </x:c>
      <x:c r="P11" s="26" t="n">
        <x:f>H$5</x:f>
        <x:v>22035.338910000002</x:v>
      </x:c>
      <x:c r="Q11" s="26" t="n">
        <x:f>H$6</x:f>
        <x:v>20049.32124</x:v>
      </x:c>
      <x:c r="R11" s="26" t="n">
        <x:f>H$7</x:f>
        <x:v>5296.04712</x:v>
      </x:c>
      <x:c r="S11" s="26" t="n">
        <x:f>H$9</x:f>
        <x:v>49749.742633500005</x:v>
      </x:c>
    </x:row>
    <x:row r="12">
      <x:c r="A12" s="45" t="str">
        <x:v>Estimated Churned MRR</x:v>
      </x:c>
      <x:c r="B12" s="54" t="n">
        <x:f>'Конверсии по тарифам'!B27*'Доходы'!B17/MAX(1,'Конверсии по тарифам'!B25)</x:f>
        <x:v>0</x:v>
      </x:c>
      <x:c r="C12" s="54" t="n">
        <x:f>'Конверсии по тарифам'!C27*'Доходы'!C17/MAX(1,'Конверсии по тарифам'!C25)</x:f>
        <x:v>0</x:v>
      </x:c>
      <x:c r="D12" s="54" t="n">
        <x:f>'Конверсии по тарифам'!D27*'Доходы'!D17/MAX(1,'Конверсии по тарифам'!D25)</x:f>
        <x:v>126.38294263636364</x:v>
      </x:c>
      <x:c r="E12" s="54" t="n">
        <x:f>'Конверсии по тарифам'!E27*'Доходы'!E17/MAX(1,'Конверсии по тарифам'!E25)</x:f>
        <x:v>399.31631875531923</x:v>
      </x:c>
      <x:c r="F12" s="54" t="n">
        <x:f>'Конверсии по тарифам'!F27*'Доходы'!F17/MAX(1,'Конверсии по тарифам'!F25)</x:f>
        <x:v>826.8318462857144</x:v>
      </x:c>
      <x:c r="G12" s="54" t="n">
        <x:f>'Конверсии по тарифам'!G27*'Доходы'!G17/MAX(1,'Конверсии по тарифам'!G25)</x:f>
        <x:v>1674.3656664000002</x:v>
      </x:c>
      <x:c r="H12" s="54" t="n">
        <x:f>'Конверсии по тарифам'!H27*'Доходы'!H17/MAX(1,'Конверсии по тарифам'!H25)</x:f>
        <x:v>3100.550532399434</x:v>
      </x:c>
      <x:c r="I12" s="54" t="n">
        <x:f>'Конверсии по тарифам'!I27*'Доходы'!I17/MAX(1,'Конверсии по тарифам'!I25)</x:f>
        <x:v>5398.533839349102</x:v>
      </x:c>
      <x:c r="J12" s="54" t="n">
        <x:f>'Конверсии по тарифам'!J27*'Доходы'!J17/MAX(1,'Конверсии по тарифам'!J25)</x:f>
        <x:v>9042.757519458715</x:v>
      </x:c>
      <x:c r="K12" s="54" t="n">
        <x:f>'Конверсии по тарифам'!K27*'Доходы'!K17/MAX(1,'Конверсии по тарифам'!K25)</x:f>
        <x:v>14520.288130331124</x:v>
      </x:c>
      <x:c r="L12" s="54" t="n">
        <x:f>'Конверсии по тарифам'!L27*'Доходы'!L17/MAX(1,'Конверсии по тарифам'!L25)</x:f>
        <x:v>20345.18312046316</x:v>
      </x:c>
      <x:c r="M12" s="54" t="n">
        <x:f>'Конверсии по тарифам'!M27*'Доходы'!M17/MAX(1,'Конверсии по тарифам'!M25)</x:f>
        <x:v>29912.207721407238</x:v>
      </x:c>
      <x:c r="O12" s="16" t="str">
        <x:f>I$4</x:f>
        <x:v>М8</x:v>
      </x:c>
      <x:c r="P12" s="26" t="n">
        <x:f>I$5</x:f>
        <x:v>37923.48027</x:v>
      </x:c>
      <x:c r="Q12" s="26" t="n">
        <x:f>I$6</x:f>
        <x:v>35180.88444</x:v>
      </x:c>
      <x:c r="R12" s="26" t="n">
        <x:f>I$7</x:f>
        <x:v>9835.516080000001</x:v>
      </x:c>
      <x:c r="S12" s="26" t="n">
        <x:f>I$9</x:f>
        <x:v>87086.8748295</x:v>
      </x:c>
    </x:row>
    <x:row r="13">
      <x:c r="A13" s="45" t="str">
        <x:v>Expansion MRR</x:v>
      </x:c>
      <x:c r="B13" s="54" t="n">
        <x:f>('Конверсии по тарифам'!B15*('Исходные данные'!$H$7-'Исходные данные'!$H$6))+('Конверсии по тарифам'!B20*('Исходные данные'!$H$8-'Исходные данные'!$H$7))</x:f>
        <x:v>0</x:v>
      </x:c>
      <x:c r="C13" s="54" t="n">
        <x:f>('Конверсии по тарифам'!C15*('Исходные данные'!$H$7-'Исходные данные'!$H$6))+('Конверсии по тарифам'!C20*('Исходные данные'!$H$8-'Исходные данные'!$H$7))</x:f>
        <x:v>0</x:v>
      </x:c>
      <x:c r="D13" s="54" t="n">
        <x:f>('Конверсии по тарифам'!D15*('Исходные данные'!$H$7-'Исходные данные'!$H$6))+('Конверсии по тарифам'!D20*('Исходные данные'!$H$8-'Исходные данные'!$H$7))</x:f>
        <x:v>0</x:v>
      </x:c>
      <x:c r="E13" s="54" t="n">
        <x:f>('Конверсии по тарифам'!E15*('Исходные данные'!$H$7-'Исходные данные'!$H$6))+('Конверсии по тарифам'!E20*('Исходные данные'!$H$8-'Исходные данные'!$H$7))</x:f>
        <x:v>94.57227</x:v>
      </x:c>
      <x:c r="F13" s="54" t="n">
        <x:f>('Конверсии по тарифам'!F15*('Исходные данные'!$H$7-'Исходные данные'!$H$6))+('Конверсии по тарифам'!F20*('Исходные данные'!$H$8-'Исходные данные'!$H$7))</x:f>
        <x:v>189.14454</x:v>
      </x:c>
      <x:c r="G13" s="54" t="n">
        <x:f>('Конверсии по тарифам'!G15*('Исходные данные'!$H$7-'Исходные данные'!$H$6))+('Конверсии по тарифам'!G20*('Исходные данные'!$H$8-'Исходные данные'!$H$7))</x:f>
        <x:v>662.00589</x:v>
      </x:c>
      <x:c r="H13" s="54" t="n">
        <x:f>('Конверсии по тарифам'!H15*('Исходные данные'!$H$7-'Исходные данные'!$H$6))+('Конверсии по тарифам'!H20*('Исходные данные'!$H$8-'Исходные данные'!$H$7))</x:f>
        <x:v>1324.01178</x:v>
      </x:c>
      <x:c r="I13" s="54" t="n">
        <x:f>('Конверсии по тарифам'!I15*('Исходные данные'!$H$7-'Исходные данные'!$H$6))+('Конверсии по тарифам'!I20*('Исходные данные'!$H$8-'Исходные данные'!$H$7))</x:f>
        <x:v>2269.73448</x:v>
      </x:c>
      <x:c r="J13" s="54" t="n">
        <x:f>('Конверсии по тарифам'!J15*('Исходные данные'!$H$7-'Исходные данные'!$H$6))+('Конверсии по тарифам'!J20*('Исходные данные'!$H$8-'Исходные данные'!$H$7))</x:f>
        <x:v>4161.17988</x:v>
      </x:c>
      <x:c r="K13" s="54" t="n">
        <x:f>('Конверсии по тарифам'!K15*('Исходные данные'!$H$7-'Исходные данные'!$H$6))+('Конверсии по тарифам'!K20*('Исходные данные'!$H$8-'Исходные данные'!$H$7))</x:f>
        <x:v>7187.49252</x:v>
      </x:c>
      <x:c r="L13" s="54" t="n">
        <x:f>('Конверсии по тарифам'!L15*('Исходные данные'!$H$7-'Исходные данные'!$H$6))+('Конверсии по тарифам'!L20*('Исходные данные'!$H$8-'Исходные данные'!$H$7))</x:f>
        <x:v>11537.81694</x:v>
      </x:c>
      <x:c r="M13" s="54" t="n">
        <x:f>('Конверсии по тарифам'!M15*('Исходные данные'!$H$7-'Исходные данные'!$H$6))+('Конверсии по тарифам'!M20*('Исходные данные'!$H$8-'Исходные данные'!$H$7))</x:f>
        <x:v>16455.57498</x:v>
      </x:c>
      <x:c r="O13" s="16" t="str">
        <x:f>J$4</x:f>
        <x:v>М9</x:v>
      </x:c>
      <x:c r="P13" s="26" t="n">
        <x:f>J$5</x:f>
        <x:v>59769.674640000005</x:v>
      </x:c>
      <x:c r="Q13" s="26" t="n">
        <x:f>J$6</x:f>
        <x:v>57689.0847</x:v>
      </x:c>
      <x:c r="R13" s="26" t="n">
        <x:f>J$7</x:f>
        <x:v>16644.71952</x:v>
      </x:c>
      <x:c r="S13" s="26" t="n">
        <x:f>J$9</x:f>
        <x:v>140808.652803</x:v>
      </x:c>
    </x:row>
    <x:row r="14">
      <x:c r="A14" s="42"/>
      <x:c r="B14" s="42"/>
      <x:c r="C14" s="42"/>
      <x:c r="D14" s="42"/>
      <x:c r="E14" s="42"/>
      <x:c r="F14" s="42"/>
      <x:c r="G14" s="42"/>
      <x:c r="H14" s="42"/>
      <x:c r="I14" s="42"/>
      <x:c r="J14" s="42"/>
      <x:c r="K14" s="42"/>
      <x:c r="L14" s="42"/>
      <x:c r="M14" s="42"/>
      <x:c r="O14" s="16" t="str">
        <x:f>K$4</x:f>
        <x:v>М10</x:v>
      </x:c>
      <x:c r="P14" s="26" t="n">
        <x:f>K$5</x:f>
        <x:v>90411.09012000001</x:v>
      </x:c>
      <x:c r="Q14" s="26" t="n">
        <x:f>K$6</x:f>
        <x:v>91167.66828</x:v>
      </x:c>
      <x:c r="R14" s="26" t="n">
        <x:f>K$7</x:f>
        <x:v>27236.81376</x:v>
      </x:c>
      <x:c r="S14" s="26" t="n">
        <x:f>K$9</x:f>
        <x:v>219256.35076799997</x:v>
      </x:c>
    </x:row>
    <x:row r="15">
      <x:c r="A15" s="42"/>
      <x:c r="B15" s="42"/>
      <x:c r="C15" s="42"/>
      <x:c r="D15" s="42"/>
      <x:c r="E15" s="42"/>
      <x:c r="F15" s="42"/>
      <x:c r="G15" s="42"/>
      <x:c r="H15" s="42"/>
      <x:c r="I15" s="42"/>
      <x:c r="J15" s="42"/>
      <x:c r="K15" s="42"/>
      <x:c r="L15" s="42"/>
      <x:c r="M15" s="42"/>
      <x:c r="O15" s="16" t="str">
        <x:f>L$4</x:f>
        <x:v>М11</x:v>
      </x:c>
      <x:c r="P15" s="26" t="n">
        <x:f>L$5</x:f>
        <x:v>128050.85358000001</x:v>
      </x:c>
      <x:c r="Q15" s="26" t="n">
        <x:f>L$6</x:f>
        <x:v>135616.63518</x:v>
      </x:c>
      <x:c r="R15" s="26" t="n">
        <x:f>L$7</x:f>
        <x:v>43124.95512</x:v>
      </x:c>
      <x:c r="S15" s="26" t="n">
        <x:f>L$9</x:f>
        <x:v>322132.06607400003</x:v>
      </x:c>
    </x:row>
    <x:row r="16">
      <x:c r="A16" s="42"/>
      <x:c r="B16" s="42"/>
      <x:c r="C16" s="42"/>
      <x:c r="D16" s="42"/>
      <x:c r="E16" s="42"/>
      <x:c r="F16" s="42"/>
      <x:c r="G16" s="42"/>
      <x:c r="H16" s="42"/>
      <x:c r="I16" s="42"/>
      <x:c r="J16" s="42"/>
      <x:c r="K16" s="42"/>
      <x:c r="L16" s="42"/>
      <x:c r="M16" s="42"/>
      <x:c r="O16" s="16" t="str">
        <x:f>M$4</x:f>
        <x:v>М12</x:v>
      </x:c>
      <x:c r="P16" s="26" t="n">
        <x:f>M$5</x:f>
        <x:v>172688.96502</x:v>
      </x:c>
      <x:c r="Q16" s="26" t="n">
        <x:f>M$6</x:f>
        <x:v>192549.14172</x:v>
      </x:c>
      <x:c r="R16" s="26" t="n">
        <x:f>M$7</x:f>
        <x:v>63930.85452</x:v>
      </x:c>
      <x:c r="S16" s="26" t="n">
        <x:f>M$9</x:f>
        <x:v>450627.409323</x:v>
      </x:c>
    </x:row>
    <x:row r="17">
      <x:c r="A17" s="42"/>
      <x:c r="B17" s="42"/>
      <x:c r="C17" s="42"/>
      <x:c r="D17" s="42"/>
      <x:c r="E17" s="42"/>
      <x:c r="F17" s="42"/>
      <x:c r="G17" s="42"/>
      <x:c r="H17" s="42"/>
      <x:c r="I17" s="42"/>
      <x:c r="J17" s="42"/>
      <x:c r="K17" s="42"/>
      <x:c r="L17" s="42"/>
      <x:c r="M17" s="42"/>
    </x:row>
    <x:row r="18">
      <x:c r="A18" s="42"/>
      <x:c r="B18" s="42"/>
      <x:c r="C18" s="42"/>
      <x:c r="D18" s="42"/>
      <x:c r="E18" s="42"/>
      <x:c r="F18" s="42"/>
      <x:c r="G18" s="42"/>
      <x:c r="H18" s="42"/>
      <x:c r="I18" s="42"/>
      <x:c r="J18" s="42"/>
      <x:c r="K18" s="42"/>
      <x:c r="L18" s="42"/>
      <x:c r="M18" s="42"/>
    </x:row>
    <x:row r="19">
      <x:c r="A19" s="42"/>
      <x:c r="B19" s="42"/>
      <x:c r="C19" s="42"/>
      <x:c r="D19" s="42"/>
      <x:c r="E19" s="42"/>
      <x:c r="F19" s="42"/>
      <x:c r="G19" s="42"/>
      <x:c r="H19" s="42"/>
      <x:c r="I19" s="42"/>
      <x:c r="J19" s="42"/>
      <x:c r="K19" s="42"/>
      <x:c r="L19" s="42"/>
      <x:c r="M19" s="42"/>
    </x:row>
    <x:row r="20">
      <x:c r="A20" s="42"/>
      <x:c r="B20" s="42"/>
      <x:c r="C20" s="42"/>
      <x:c r="D20" s="42"/>
      <x:c r="E20" s="42"/>
      <x:c r="F20" s="42"/>
      <x:c r="G20" s="42"/>
      <x:c r="H20" s="42"/>
      <x:c r="I20" s="42"/>
      <x:c r="J20" s="42"/>
      <x:c r="K20" s="42"/>
      <x:c r="L20" s="42"/>
      <x:c r="M20" s="42"/>
    </x:row>
    <x:row r="21">
      <x:c r="A21" s="42"/>
      <x:c r="B21" s="42"/>
      <x:c r="C21" s="42"/>
      <x:c r="D21" s="42"/>
      <x:c r="E21" s="42"/>
      <x:c r="F21" s="42"/>
      <x:c r="G21" s="42"/>
      <x:c r="H21" s="42"/>
      <x:c r="I21" s="42"/>
      <x:c r="J21" s="42"/>
      <x:c r="K21" s="42"/>
      <x:c r="L21" s="42"/>
      <x:c r="M21" s="42"/>
    </x:row>
    <x:row r="22">
      <x:c r="A22" s="42"/>
      <x:c r="B22" s="42"/>
      <x:c r="C22" s="42"/>
      <x:c r="D22" s="42"/>
      <x:c r="E22" s="42"/>
      <x:c r="F22" s="42"/>
      <x:c r="G22" s="42"/>
      <x:c r="H22" s="42"/>
      <x:c r="I22" s="42"/>
      <x:c r="J22" s="42"/>
      <x:c r="K22" s="42"/>
      <x:c r="L22" s="42"/>
      <x:c r="M22" s="42"/>
    </x:row>
    <x:row r="23">
      <x:c r="A23" s="42"/>
      <x:c r="B23" s="42"/>
      <x:c r="C23" s="42"/>
      <x:c r="D23" s="42"/>
      <x:c r="E23" s="42"/>
      <x:c r="F23" s="42"/>
      <x:c r="G23" s="42"/>
      <x:c r="H23" s="42"/>
      <x:c r="I23" s="42"/>
      <x:c r="J23" s="42"/>
      <x:c r="K23" s="42"/>
      <x:c r="L23" s="42"/>
      <x:c r="M23" s="42"/>
    </x:row>
    <x:row r="24">
      <x:c r="A24" s="42"/>
      <x:c r="B24" s="42"/>
      <x:c r="C24" s="42"/>
      <x:c r="D24" s="42"/>
      <x:c r="E24" s="42"/>
      <x:c r="F24" s="42"/>
      <x:c r="G24" s="42"/>
      <x:c r="H24" s="42"/>
      <x:c r="I24" s="42"/>
      <x:c r="J24" s="42"/>
      <x:c r="K24" s="42"/>
      <x:c r="L24" s="42"/>
      <x:c r="M24" s="42"/>
    </x:row>
    <x:row r="25">
      <x:c r="A25" s="42"/>
      <x:c r="B25" s="42"/>
      <x:c r="C25" s="42"/>
      <x:c r="D25" s="42"/>
      <x:c r="E25" s="42"/>
      <x:c r="F25" s="42"/>
      <x:c r="G25" s="42"/>
      <x:c r="H25" s="42"/>
      <x:c r="I25" s="42"/>
      <x:c r="J25" s="42"/>
      <x:c r="K25" s="42"/>
      <x:c r="L25" s="42"/>
      <x:c r="M25" s="42"/>
    </x:row>
    <x:row r="26">
      <x:c r="A26" s="42"/>
      <x:c r="B26" s="42"/>
      <x:c r="C26" s="42"/>
      <x:c r="D26" s="42"/>
      <x:c r="E26" s="42"/>
      <x:c r="F26" s="42"/>
      <x:c r="G26" s="42"/>
      <x:c r="H26" s="42"/>
      <x:c r="I26" s="42"/>
      <x:c r="J26" s="42"/>
      <x:c r="K26" s="42"/>
      <x:c r="L26" s="42"/>
      <x:c r="M26" s="42"/>
    </x:row>
    <x:row r="27">
      <x:c r="A27" s="42"/>
      <x:c r="B27" s="42"/>
      <x:c r="C27" s="42"/>
      <x:c r="D27" s="42"/>
      <x:c r="E27" s="42"/>
      <x:c r="F27" s="42"/>
      <x:c r="G27" s="42"/>
      <x:c r="H27" s="42"/>
      <x:c r="I27" s="42"/>
      <x:c r="J27" s="42"/>
      <x:c r="K27" s="42"/>
      <x:c r="L27" s="42"/>
      <x:c r="M27" s="42"/>
    </x:row>
    <x:row r="28">
      <x:c r="A28" s="42"/>
      <x:c r="B28" s="42"/>
      <x:c r="C28" s="42"/>
      <x:c r="D28" s="42"/>
      <x:c r="E28" s="42"/>
      <x:c r="F28" s="42"/>
      <x:c r="G28" s="42"/>
      <x:c r="H28" s="42"/>
      <x:c r="I28" s="42"/>
      <x:c r="J28" s="42"/>
      <x:c r="K28" s="42"/>
      <x:c r="L28" s="42"/>
      <x:c r="M28" s="42"/>
    </x:row>
    <x:row r="29">
      <x:c r="A29" s="42"/>
      <x:c r="B29" s="42"/>
      <x:c r="C29" s="42"/>
      <x:c r="D29" s="42"/>
      <x:c r="E29" s="42"/>
      <x:c r="F29" s="42"/>
      <x:c r="G29" s="42"/>
      <x:c r="H29" s="42"/>
      <x:c r="I29" s="42"/>
      <x:c r="J29" s="42"/>
      <x:c r="K29" s="42"/>
      <x:c r="L29" s="42"/>
      <x:c r="M29" s="42"/>
    </x:row>
    <x:row r="30">
      <x:c r="A30" s="42"/>
      <x:c r="B30" s="42"/>
      <x:c r="C30" s="42"/>
      <x:c r="D30" s="42"/>
      <x:c r="E30" s="42"/>
      <x:c r="F30" s="42"/>
      <x:c r="G30" s="42"/>
      <x:c r="H30" s="42"/>
      <x:c r="I30" s="42"/>
      <x:c r="J30" s="42"/>
      <x:c r="K30" s="42"/>
      <x:c r="L30" s="42"/>
      <x:c r="M30" s="42"/>
    </x:row>
    <x:row r="31">
      <x:c r="A31" s="42"/>
      <x:c r="B31" s="42"/>
      <x:c r="C31" s="42"/>
      <x:c r="D31" s="42"/>
      <x:c r="E31" s="42"/>
      <x:c r="F31" s="42"/>
      <x:c r="G31" s="42"/>
      <x:c r="H31" s="42"/>
      <x:c r="I31" s="42"/>
      <x:c r="J31" s="42"/>
      <x:c r="K31" s="42"/>
      <x:c r="L31" s="42"/>
      <x:c r="M31" s="42"/>
    </x:row>
    <x:row r="32">
      <x:c r="A32" s="42"/>
      <x:c r="B32" s="42"/>
      <x:c r="C32" s="42"/>
      <x:c r="D32" s="42"/>
      <x:c r="E32" s="42"/>
      <x:c r="F32" s="42"/>
      <x:c r="G32" s="42"/>
      <x:c r="H32" s="42"/>
      <x:c r="I32" s="42"/>
      <x:c r="J32" s="42"/>
      <x:c r="K32" s="42"/>
      <x:c r="L32" s="42"/>
      <x:c r="M32" s="42"/>
    </x:row>
    <x:row r="33">
      <x:c r="A33" s="42"/>
      <x:c r="B33" s="42"/>
      <x:c r="C33" s="42"/>
      <x:c r="D33" s="42"/>
      <x:c r="E33" s="42"/>
      <x:c r="F33" s="42"/>
      <x:c r="G33" s="42"/>
      <x:c r="H33" s="42"/>
      <x:c r="I33" s="42"/>
      <x:c r="J33" s="42"/>
      <x:c r="K33" s="42"/>
      <x:c r="L33" s="42"/>
      <x:c r="M33" s="42"/>
    </x:row>
    <x:row r="34">
      <x:c r="A34" s="42"/>
      <x:c r="B34" s="42"/>
      <x:c r="C34" s="42"/>
      <x:c r="D34" s="42"/>
      <x:c r="E34" s="42"/>
      <x:c r="F34" s="42"/>
      <x:c r="G34" s="42"/>
      <x:c r="H34" s="42"/>
      <x:c r="I34" s="42"/>
      <x:c r="J34" s="42"/>
      <x:c r="K34" s="42"/>
      <x:c r="L34" s="42"/>
      <x:c r="M34" s="42"/>
    </x:row>
    <x:row r="35">
      <x:c r="A35" s="42"/>
      <x:c r="B35" s="42"/>
      <x:c r="C35" s="42"/>
      <x:c r="D35" s="42"/>
      <x:c r="E35" s="42"/>
      <x:c r="F35" s="42"/>
      <x:c r="G35" s="42"/>
      <x:c r="H35" s="42"/>
      <x:c r="I35" s="42"/>
      <x:c r="J35" s="42"/>
      <x:c r="K35" s="42"/>
      <x:c r="L35" s="42"/>
      <x:c r="M35" s="42"/>
    </x:row>
    <x:row r="36">
      <x:c r="A36" s="42"/>
      <x:c r="B36" s="42"/>
      <x:c r="C36" s="42"/>
      <x:c r="D36" s="42"/>
      <x:c r="E36" s="42"/>
      <x:c r="F36" s="42"/>
      <x:c r="G36" s="42"/>
      <x:c r="H36" s="42"/>
      <x:c r="I36" s="42"/>
      <x:c r="J36" s="42"/>
      <x:c r="K36" s="42"/>
      <x:c r="L36" s="42"/>
      <x:c r="M36" s="42"/>
    </x:row>
    <x:row r="37">
      <x:c r="A37" s="42"/>
      <x:c r="B37" s="42"/>
      <x:c r="C37" s="42"/>
      <x:c r="D37" s="42"/>
      <x:c r="E37" s="42"/>
      <x:c r="F37" s="42"/>
      <x:c r="G37" s="42"/>
      <x:c r="H37" s="42"/>
      <x:c r="I37" s="42"/>
      <x:c r="J37" s="42"/>
      <x:c r="K37" s="42"/>
      <x:c r="L37" s="42"/>
      <x:c r="M37" s="42"/>
    </x:row>
    <x:row r="38">
      <x:c r="A38" s="42"/>
      <x:c r="B38" s="42"/>
      <x:c r="C38" s="42"/>
      <x:c r="D38" s="42"/>
      <x:c r="E38" s="42"/>
      <x:c r="F38" s="42"/>
      <x:c r="G38" s="42"/>
      <x:c r="H38" s="42"/>
      <x:c r="I38" s="42"/>
      <x:c r="J38" s="42"/>
      <x:c r="K38" s="42"/>
      <x:c r="L38" s="42"/>
      <x:c r="M38" s="42"/>
    </x:row>
    <x:row r="39">
      <x:c r="A39" s="42"/>
      <x:c r="B39" s="42"/>
      <x:c r="C39" s="42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</x:row>
    <x:row r="40">
      <x:c r="A40" s="42"/>
      <x:c r="B40" s="42"/>
      <x:c r="C40" s="42"/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</x:row>
    <x:row r="41">
      <x:c r="A41" s="42"/>
      <x:c r="B41" s="42"/>
      <x:c r="C41" s="42"/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</x:row>
    <x:row r="42">
      <x:c r="A42" s="42"/>
      <x:c r="B42" s="42"/>
      <x:c r="C42" s="42"/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</x:row>
    <x:row r="43">
      <x:c r="A43" s="42"/>
      <x:c r="B43" s="42"/>
      <x:c r="C43" s="42"/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</x:row>
    <x:row r="44">
      <x:c r="A44" s="42"/>
      <x:c r="B44" s="42"/>
      <x:c r="C44" s="42"/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</x:row>
    <x:row r="45">
      <x:c r="A45" s="42"/>
      <x:c r="B45" s="42"/>
      <x:c r="C45" s="42"/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</x:row>
    <x:row r="46">
      <x:c r="A46" s="42"/>
      <x:c r="B46" s="42"/>
      <x:c r="C46" s="42"/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</x:row>
    <x:row r="47">
      <x:c r="A47" s="42"/>
      <x:c r="B47" s="42"/>
      <x:c r="C47" s="42"/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</x:row>
    <x:row r="48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</x:row>
    <x:row r="49">
      <x:c r="A49" s="42"/>
      <x:c r="B49" s="42"/>
      <x:c r="C49" s="42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</x:row>
    <x:row r="50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</x:row>
    <x:row r="51">
      <x:c r="A51" s="42"/>
      <x:c r="B51" s="42"/>
      <x:c r="C51" s="42"/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</x:row>
    <x:row r="52">
      <x:c r="A52" s="42"/>
      <x:c r="B52" s="42"/>
      <x:c r="C52" s="42"/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</x:row>
    <x:row r="53">
      <x:c r="A53" s="42"/>
      <x:c r="B53" s="42"/>
      <x:c r="C53" s="42"/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</x:row>
    <x:row r="54">
      <x:c r="A54" s="42"/>
      <x:c r="B54" s="42"/>
      <x:c r="C54" s="42"/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</x:row>
    <x:row r="55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</x:row>
    <x:row r="56">
      <x:c r="A56" s="42"/>
      <x:c r="B56" s="42"/>
      <x:c r="C56" s="42"/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</x:row>
    <x:row r="57">
      <x:c r="A57" s="42"/>
      <x:c r="B57" s="42"/>
      <x:c r="C57" s="42"/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</x:row>
    <x:row r="58">
      <x:c r="A58" s="42"/>
      <x:c r="B58" s="42"/>
      <x:c r="C58" s="42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</x:row>
    <x:row r="59">
      <x:c r="A59" s="42"/>
      <x:c r="B59" s="42"/>
      <x:c r="C59" s="42"/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</x:row>
    <x:row r="60">
      <x:c r="A60" s="42"/>
      <x:c r="B60" s="42"/>
      <x:c r="C60" s="42"/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</x:row>
    <x:row r="61">
      <x:c r="A61" s="42"/>
      <x:c r="B61" s="42"/>
      <x:c r="C61" s="42"/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</x:row>
    <x:row r="62">
      <x:c r="A62" s="42"/>
      <x:c r="B62" s="42"/>
      <x:c r="C62" s="42"/>
      <x:c r="D62" s="42"/>
      <x:c r="E62" s="42"/>
      <x:c r="F62" s="42"/>
      <x:c r="G62" s="42"/>
      <x:c r="H62" s="42"/>
      <x:c r="I62" s="42"/>
      <x:c r="J62" s="42"/>
      <x:c r="K62" s="42"/>
      <x:c r="L62" s="42"/>
      <x:c r="M62" s="42"/>
    </x:row>
    <x:row r="63">
      <x:c r="A63" s="42"/>
      <x:c r="B63" s="42"/>
      <x:c r="C63" s="42"/>
      <x:c r="D63" s="42"/>
      <x:c r="E63" s="42"/>
      <x:c r="F63" s="42"/>
      <x:c r="G63" s="42"/>
      <x:c r="H63" s="42"/>
      <x:c r="I63" s="42"/>
      <x:c r="J63" s="42"/>
      <x:c r="K63" s="42"/>
      <x:c r="L63" s="42"/>
      <x:c r="M63" s="42"/>
    </x:row>
    <x:row r="64">
      <x:c r="A64" s="42"/>
      <x:c r="B64" s="42"/>
      <x:c r="C64" s="42"/>
      <x:c r="D64" s="42"/>
      <x:c r="E64" s="42"/>
      <x:c r="F64" s="42"/>
      <x:c r="G64" s="42"/>
      <x:c r="H64" s="42"/>
      <x:c r="I64" s="42"/>
      <x:c r="J64" s="42"/>
      <x:c r="K64" s="42"/>
      <x:c r="L64" s="42"/>
      <x:c r="M64" s="42"/>
    </x:row>
    <x:row r="65">
      <x:c r="A65" s="42"/>
      <x:c r="B65" s="42"/>
      <x:c r="C65" s="42"/>
      <x:c r="D65" s="42"/>
      <x:c r="E65" s="42"/>
      <x:c r="F65" s="42"/>
      <x:c r="G65" s="42"/>
      <x:c r="H65" s="42"/>
      <x:c r="I65" s="42"/>
      <x:c r="J65" s="42"/>
      <x:c r="K65" s="42"/>
      <x:c r="L65" s="42"/>
      <x:c r="M65" s="42"/>
    </x:row>
    <x:row r="66">
      <x:c r="A66" s="42"/>
      <x:c r="B66" s="42"/>
      <x:c r="C66" s="42"/>
      <x:c r="D66" s="42"/>
      <x:c r="E66" s="42"/>
      <x:c r="F66" s="42"/>
      <x:c r="G66" s="42"/>
      <x:c r="H66" s="42"/>
      <x:c r="I66" s="42"/>
      <x:c r="J66" s="42"/>
      <x:c r="K66" s="42"/>
      <x:c r="L66" s="42"/>
      <x:c r="M66" s="42"/>
    </x:row>
    <x:row r="67">
      <x:c r="A67" s="42"/>
      <x:c r="B67" s="42"/>
      <x:c r="C67" s="42"/>
      <x:c r="D67" s="42"/>
      <x:c r="E67" s="42"/>
      <x:c r="F67" s="42"/>
      <x:c r="G67" s="42"/>
      <x:c r="H67" s="42"/>
      <x:c r="I67" s="42"/>
      <x:c r="J67" s="42"/>
      <x:c r="K67" s="42"/>
      <x:c r="L67" s="42"/>
      <x:c r="M67" s="42"/>
    </x:row>
    <x:row r="68">
      <x:c r="A68" s="42"/>
      <x:c r="B68" s="42"/>
      <x:c r="C68" s="42"/>
      <x:c r="D68" s="42"/>
      <x:c r="E68" s="42"/>
      <x:c r="F68" s="42"/>
      <x:c r="G68" s="42"/>
      <x:c r="H68" s="42"/>
      <x:c r="I68" s="42"/>
      <x:c r="J68" s="42"/>
      <x:c r="K68" s="42"/>
      <x:c r="L68" s="42"/>
      <x:c r="M68" s="42"/>
    </x:row>
    <x:row r="69">
      <x:c r="A69" s="42"/>
      <x:c r="B69" s="42"/>
      <x:c r="C69" s="42"/>
      <x:c r="D69" s="42"/>
      <x:c r="E69" s="42"/>
      <x:c r="F69" s="42"/>
      <x:c r="G69" s="42"/>
      <x:c r="H69" s="42"/>
      <x:c r="I69" s="42"/>
      <x:c r="J69" s="42"/>
      <x:c r="K69" s="42"/>
      <x:c r="L69" s="42"/>
      <x:c r="M69" s="42"/>
    </x:row>
    <x:row r="70">
      <x:c r="A70" s="42"/>
      <x:c r="B70" s="42"/>
      <x:c r="C70" s="42"/>
      <x:c r="D70" s="42"/>
      <x:c r="E70" s="42"/>
      <x:c r="F70" s="42"/>
      <x:c r="G70" s="42"/>
      <x:c r="H70" s="42"/>
      <x:c r="I70" s="42"/>
      <x:c r="J70" s="42"/>
      <x:c r="K70" s="42"/>
      <x:c r="L70" s="42"/>
      <x:c r="M70" s="42"/>
    </x:row>
    <x:row r="71">
      <x:c r="A71" s="42"/>
      <x:c r="B71" s="42"/>
      <x:c r="C71" s="42"/>
      <x:c r="D71" s="42"/>
      <x:c r="E71" s="42"/>
      <x:c r="F71" s="42"/>
      <x:c r="G71" s="42"/>
      <x:c r="H71" s="42"/>
      <x:c r="I71" s="42"/>
      <x:c r="J71" s="42"/>
      <x:c r="K71" s="42"/>
      <x:c r="L71" s="42"/>
      <x:c r="M71" s="42"/>
    </x:row>
    <x:row r="72">
      <x:c r="A72" s="42"/>
      <x:c r="B72" s="42"/>
      <x:c r="C72" s="42"/>
      <x:c r="D72" s="42"/>
      <x:c r="E72" s="42"/>
      <x:c r="F72" s="42"/>
      <x:c r="G72" s="42"/>
      <x:c r="H72" s="42"/>
      <x:c r="I72" s="42"/>
      <x:c r="J72" s="42"/>
      <x:c r="K72" s="42"/>
      <x:c r="L72" s="42"/>
      <x:c r="M72" s="42"/>
    </x:row>
    <x:row r="73">
      <x:c r="A73" s="42"/>
      <x:c r="B73" s="42"/>
      <x:c r="C73" s="42"/>
      <x:c r="D73" s="42"/>
      <x:c r="E73" s="42"/>
      <x:c r="F73" s="42"/>
      <x:c r="G73" s="42"/>
      <x:c r="H73" s="42"/>
      <x:c r="I73" s="42"/>
      <x:c r="J73" s="42"/>
      <x:c r="K73" s="42"/>
      <x:c r="L73" s="42"/>
      <x:c r="M73" s="42"/>
    </x:row>
    <x:row r="74">
      <x:c r="A74" s="42"/>
      <x:c r="B74" s="42"/>
      <x:c r="C74" s="42"/>
      <x:c r="D74" s="42"/>
      <x:c r="E74" s="42"/>
      <x:c r="F74" s="42"/>
      <x:c r="G74" s="42"/>
      <x:c r="H74" s="42"/>
      <x:c r="I74" s="42"/>
      <x:c r="J74" s="42"/>
      <x:c r="K74" s="42"/>
      <x:c r="L74" s="42"/>
      <x:c r="M74" s="42"/>
    </x:row>
    <x:row r="75">
      <x:c r="A75" s="42"/>
      <x:c r="B75" s="42"/>
      <x:c r="C75" s="42"/>
      <x:c r="D75" s="42"/>
      <x:c r="E75" s="42"/>
      <x:c r="F75" s="42"/>
      <x:c r="G75" s="42"/>
      <x:c r="H75" s="42"/>
      <x:c r="I75" s="42"/>
      <x:c r="J75" s="42"/>
      <x:c r="K75" s="42"/>
      <x:c r="L75" s="42"/>
      <x:c r="M75" s="42"/>
    </x:row>
    <x:row r="76">
      <x:c r="A76" s="42"/>
      <x:c r="B76" s="42"/>
      <x:c r="C76" s="42"/>
      <x:c r="D76" s="42"/>
      <x:c r="E76" s="42"/>
      <x:c r="F76" s="42"/>
      <x:c r="G76" s="42"/>
      <x:c r="H76" s="42"/>
      <x:c r="I76" s="42"/>
      <x:c r="J76" s="42"/>
      <x:c r="K76" s="42"/>
      <x:c r="L76" s="42"/>
      <x:c r="M76" s="42"/>
    </x:row>
    <x:row r="77">
      <x:c r="A77" s="42"/>
      <x:c r="B77" s="42"/>
      <x:c r="C77" s="42"/>
      <x:c r="D77" s="42"/>
      <x:c r="E77" s="42"/>
      <x:c r="F77" s="42"/>
      <x:c r="G77" s="42"/>
      <x:c r="H77" s="42"/>
      <x:c r="I77" s="42"/>
      <x:c r="J77" s="42"/>
      <x:c r="K77" s="42"/>
      <x:c r="L77" s="42"/>
      <x:c r="M77" s="42"/>
    </x:row>
    <x:row r="78">
      <x:c r="A78" s="42"/>
      <x:c r="B78" s="42"/>
      <x:c r="C78" s="42"/>
      <x:c r="D78" s="42"/>
      <x:c r="E78" s="42"/>
      <x:c r="F78" s="42"/>
      <x:c r="G78" s="42"/>
      <x:c r="H78" s="42"/>
      <x:c r="I78" s="42"/>
      <x:c r="J78" s="42"/>
      <x:c r="K78" s="42"/>
      <x:c r="L78" s="42"/>
      <x:c r="M78" s="42"/>
    </x:row>
    <x:row r="79">
      <x:c r="A79" s="42"/>
      <x:c r="B79" s="42"/>
      <x:c r="C79" s="42"/>
      <x:c r="D79" s="42"/>
      <x:c r="E79" s="42"/>
      <x:c r="F79" s="42"/>
      <x:c r="G79" s="42"/>
      <x:c r="H79" s="42"/>
      <x:c r="I79" s="42"/>
      <x:c r="J79" s="42"/>
      <x:c r="K79" s="42"/>
      <x:c r="L79" s="42"/>
      <x:c r="M79" s="42"/>
    </x:row>
    <x:row r="80">
      <x:c r="A80" s="42"/>
      <x:c r="B80" s="42"/>
      <x:c r="C80" s="42"/>
      <x:c r="D80" s="42"/>
      <x:c r="E80" s="42"/>
      <x:c r="F80" s="42"/>
      <x:c r="G80" s="42"/>
      <x:c r="H80" s="42"/>
      <x:c r="I80" s="42"/>
      <x:c r="J80" s="42"/>
      <x:c r="K80" s="42"/>
      <x:c r="L80" s="42"/>
      <x:c r="M80" s="42"/>
    </x:row>
    <x:row r="81">
      <x:c r="A81" s="42"/>
      <x:c r="B81" s="42"/>
      <x:c r="C81" s="42"/>
      <x:c r="D81" s="42"/>
      <x:c r="E81" s="42"/>
      <x:c r="F81" s="42"/>
      <x:c r="G81" s="42"/>
      <x:c r="H81" s="42"/>
      <x:c r="I81" s="42"/>
      <x:c r="J81" s="42"/>
      <x:c r="K81" s="42"/>
      <x:c r="L81" s="42"/>
      <x:c r="M81" s="42"/>
    </x:row>
    <x:row r="82">
      <x:c r="A82" s="42"/>
      <x:c r="B82" s="42"/>
      <x:c r="C82" s="42"/>
      <x:c r="D82" s="42"/>
      <x:c r="E82" s="42"/>
      <x:c r="F82" s="42"/>
      <x:c r="G82" s="42"/>
      <x:c r="H82" s="42"/>
      <x:c r="I82" s="42"/>
      <x:c r="J82" s="42"/>
      <x:c r="K82" s="42"/>
      <x:c r="L82" s="42"/>
      <x:c r="M82" s="42"/>
    </x:row>
    <x:row r="83">
      <x:c r="A83" s="42"/>
      <x:c r="B83" s="42"/>
      <x:c r="C83" s="42"/>
      <x:c r="D83" s="42"/>
      <x:c r="E83" s="42"/>
      <x:c r="F83" s="42"/>
      <x:c r="G83" s="42"/>
      <x:c r="H83" s="42"/>
      <x:c r="I83" s="42"/>
      <x:c r="J83" s="42"/>
      <x:c r="K83" s="42"/>
      <x:c r="L83" s="42"/>
      <x:c r="M83" s="42"/>
    </x:row>
    <x:row r="84">
      <x:c r="A84" s="42"/>
      <x:c r="B84" s="42"/>
      <x:c r="C84" s="42"/>
      <x:c r="D84" s="42"/>
      <x:c r="E84" s="42"/>
      <x:c r="F84" s="42"/>
      <x:c r="G84" s="42"/>
      <x:c r="H84" s="42"/>
      <x:c r="I84" s="42"/>
      <x:c r="J84" s="42"/>
      <x:c r="K84" s="42"/>
      <x:c r="L84" s="42"/>
      <x:c r="M84" s="42"/>
    </x:row>
    <x:row r="85">
      <x:c r="A85" s="42"/>
      <x:c r="B85" s="42"/>
      <x:c r="C85" s="42"/>
      <x:c r="D85" s="42"/>
      <x:c r="E85" s="42"/>
      <x:c r="F85" s="42"/>
      <x:c r="G85" s="42"/>
      <x:c r="H85" s="42"/>
      <x:c r="I85" s="42"/>
      <x:c r="J85" s="42"/>
      <x:c r="K85" s="42"/>
      <x:c r="L85" s="42"/>
      <x:c r="M85" s="42"/>
    </x:row>
    <x:row r="86">
      <x:c r="A86" s="42"/>
      <x:c r="B86" s="42"/>
      <x:c r="C86" s="42"/>
      <x:c r="D86" s="42"/>
      <x:c r="E86" s="42"/>
      <x:c r="F86" s="42"/>
      <x:c r="G86" s="42"/>
      <x:c r="H86" s="42"/>
      <x:c r="I86" s="42"/>
      <x:c r="J86" s="42"/>
      <x:c r="K86" s="42"/>
      <x:c r="L86" s="42"/>
      <x:c r="M86" s="42"/>
    </x:row>
    <x:row r="87">
      <x:c r="A87" s="42"/>
      <x:c r="B87" s="42"/>
      <x:c r="C87" s="42"/>
      <x:c r="D87" s="42"/>
      <x:c r="E87" s="42"/>
      <x:c r="F87" s="42"/>
      <x:c r="G87" s="42"/>
      <x:c r="H87" s="42"/>
      <x:c r="I87" s="42"/>
      <x:c r="J87" s="42"/>
      <x:c r="K87" s="42"/>
      <x:c r="L87" s="42"/>
      <x:c r="M87" s="42"/>
    </x:row>
    <x:row r="88">
      <x:c r="A88" s="42"/>
      <x:c r="B88" s="42"/>
      <x:c r="C88" s="42"/>
      <x:c r="D88" s="42"/>
      <x:c r="E88" s="42"/>
      <x:c r="F88" s="42"/>
      <x:c r="G88" s="42"/>
      <x:c r="H88" s="42"/>
      <x:c r="I88" s="42"/>
      <x:c r="J88" s="42"/>
      <x:c r="K88" s="42"/>
      <x:c r="L88" s="42"/>
      <x:c r="M88" s="42"/>
    </x:row>
    <x:row r="89">
      <x:c r="A89" s="42"/>
      <x:c r="B89" s="42"/>
      <x:c r="C89" s="42"/>
      <x:c r="D89" s="42"/>
      <x:c r="E89" s="42"/>
      <x:c r="F89" s="42"/>
      <x:c r="G89" s="42"/>
      <x:c r="H89" s="42"/>
      <x:c r="I89" s="42"/>
      <x:c r="J89" s="42"/>
      <x:c r="K89" s="42"/>
      <x:c r="L89" s="42"/>
      <x:c r="M89" s="42"/>
    </x:row>
    <x:row r="90">
      <x:c r="A90" s="42"/>
      <x:c r="B90" s="42"/>
      <x:c r="C90" s="42"/>
      <x:c r="D90" s="42"/>
      <x:c r="E90" s="42"/>
      <x:c r="F90" s="42"/>
      <x:c r="G90" s="42"/>
      <x:c r="H90" s="42"/>
      <x:c r="I90" s="42"/>
      <x:c r="J90" s="42"/>
      <x:c r="K90" s="42"/>
      <x:c r="L90" s="42"/>
      <x:c r="M90" s="42"/>
    </x:row>
    <x:row r="91">
      <x:c r="A91" s="42"/>
      <x:c r="B91" s="42"/>
      <x:c r="C91" s="42"/>
      <x:c r="D91" s="42"/>
      <x:c r="E91" s="42"/>
      <x:c r="F91" s="42"/>
      <x:c r="G91" s="42"/>
      <x:c r="H91" s="42"/>
      <x:c r="I91" s="42"/>
      <x:c r="J91" s="42"/>
      <x:c r="K91" s="42"/>
      <x:c r="L91" s="42"/>
      <x:c r="M91" s="42"/>
    </x:row>
    <x:row r="92">
      <x:c r="A92" s="42"/>
      <x:c r="B92" s="42"/>
      <x:c r="C92" s="42"/>
      <x:c r="D92" s="42"/>
      <x:c r="E92" s="42"/>
      <x:c r="F92" s="42"/>
      <x:c r="G92" s="42"/>
      <x:c r="H92" s="42"/>
      <x:c r="I92" s="42"/>
      <x:c r="J92" s="42"/>
      <x:c r="K92" s="42"/>
      <x:c r="L92" s="42"/>
      <x:c r="M92" s="42"/>
    </x:row>
    <x:row r="93">
      <x:c r="A93" s="42"/>
      <x:c r="B93" s="42"/>
      <x:c r="C93" s="42"/>
      <x:c r="D93" s="42"/>
      <x:c r="E93" s="42"/>
      <x:c r="F93" s="42"/>
      <x:c r="G93" s="42"/>
      <x:c r="H93" s="42"/>
      <x:c r="I93" s="42"/>
      <x:c r="J93" s="42"/>
      <x:c r="K93" s="42"/>
      <x:c r="L93" s="42"/>
      <x:c r="M93" s="42"/>
    </x:row>
    <x:row r="94">
      <x:c r="A94" s="42"/>
      <x:c r="B94" s="42"/>
      <x:c r="C94" s="42"/>
      <x:c r="D94" s="42"/>
      <x:c r="E94" s="42"/>
      <x:c r="F94" s="42"/>
      <x:c r="G94" s="42"/>
      <x:c r="H94" s="42"/>
      <x:c r="I94" s="42"/>
      <x:c r="J94" s="42"/>
      <x:c r="K94" s="42"/>
      <x:c r="L94" s="42"/>
      <x:c r="M94" s="42"/>
    </x:row>
    <x:row r="95">
      <x:c r="A95" s="42"/>
      <x:c r="B95" s="42"/>
      <x:c r="C95" s="42"/>
      <x:c r="D95" s="42"/>
      <x:c r="E95" s="42"/>
      <x:c r="F95" s="42"/>
      <x:c r="G95" s="42"/>
      <x:c r="H95" s="42"/>
      <x:c r="I95" s="42"/>
      <x:c r="J95" s="42"/>
      <x:c r="K95" s="42"/>
      <x:c r="L95" s="42"/>
      <x:c r="M95" s="42"/>
    </x:row>
    <x:row r="96">
      <x:c r="A96" s="42"/>
      <x:c r="B96" s="42"/>
      <x:c r="C96" s="42"/>
      <x:c r="D96" s="42"/>
      <x:c r="E96" s="42"/>
      <x:c r="F96" s="42"/>
      <x:c r="G96" s="42"/>
      <x:c r="H96" s="42"/>
      <x:c r="I96" s="42"/>
      <x:c r="J96" s="42"/>
      <x:c r="K96" s="42"/>
      <x:c r="L96" s="42"/>
      <x:c r="M96" s="42"/>
    </x:row>
    <x:row r="97">
      <x:c r="A97" s="42"/>
      <x:c r="B97" s="42"/>
      <x:c r="C97" s="42"/>
      <x:c r="D97" s="42"/>
      <x:c r="E97" s="42"/>
      <x:c r="F97" s="42"/>
      <x:c r="G97" s="42"/>
      <x:c r="H97" s="42"/>
      <x:c r="I97" s="42"/>
      <x:c r="J97" s="42"/>
      <x:c r="K97" s="42"/>
      <x:c r="L97" s="42"/>
      <x:c r="M97" s="42"/>
    </x:row>
    <x:row r="98">
      <x:c r="A98" s="42"/>
      <x:c r="B98" s="42"/>
      <x:c r="C98" s="42"/>
      <x:c r="D98" s="42"/>
      <x:c r="E98" s="42"/>
      <x:c r="F98" s="42"/>
      <x:c r="G98" s="42"/>
      <x:c r="H98" s="42"/>
      <x:c r="I98" s="42"/>
      <x:c r="J98" s="42"/>
      <x:c r="K98" s="42"/>
      <x:c r="L98" s="42"/>
      <x:c r="M98" s="42"/>
    </x:row>
    <x:row r="99">
      <x:c r="A99" s="42"/>
      <x:c r="B99" s="42"/>
      <x:c r="C99" s="42"/>
      <x:c r="D99" s="42"/>
      <x:c r="E99" s="42"/>
      <x:c r="F99" s="42"/>
      <x:c r="G99" s="42"/>
      <x:c r="H99" s="42"/>
      <x:c r="I99" s="42"/>
      <x:c r="J99" s="42"/>
      <x:c r="K99" s="42"/>
      <x:c r="L99" s="42"/>
      <x:c r="M99" s="42"/>
    </x:row>
    <x:row r="100">
      <x:c r="A100" s="42"/>
      <x:c r="B100" s="42"/>
      <x:c r="C100" s="42"/>
      <x:c r="D100" s="42"/>
      <x:c r="E100" s="42"/>
      <x:c r="F100" s="42"/>
      <x:c r="G100" s="42"/>
      <x:c r="H100" s="42"/>
      <x:c r="I100" s="42"/>
      <x:c r="J100" s="42"/>
      <x:c r="K100" s="42"/>
      <x:c r="L100" s="42"/>
      <x:c r="M100" s="42"/>
    </x:row>
    <x:row r="101">
      <x:c r="A101" s="42"/>
      <x:c r="B101" s="42"/>
      <x:c r="C101" s="42"/>
      <x:c r="D101" s="42"/>
      <x:c r="E101" s="42"/>
      <x:c r="F101" s="42"/>
      <x:c r="G101" s="42"/>
      <x:c r="H101" s="42"/>
      <x:c r="I101" s="42"/>
      <x:c r="J101" s="42"/>
      <x:c r="K101" s="42"/>
      <x:c r="L101" s="42"/>
      <x:c r="M101" s="42"/>
    </x:row>
    <x:row r="102">
      <x:c r="A102" s="42"/>
      <x:c r="B102" s="42"/>
      <x:c r="C102" s="42"/>
      <x:c r="D102" s="42"/>
      <x:c r="E102" s="42"/>
      <x:c r="F102" s="42"/>
      <x:c r="G102" s="42"/>
      <x:c r="H102" s="42"/>
      <x:c r="I102" s="42"/>
      <x:c r="J102" s="42"/>
      <x:c r="K102" s="42"/>
      <x:c r="L102" s="42"/>
      <x:c r="M102" s="42"/>
    </x:row>
    <x:row r="103">
      <x:c r="A103" s="42"/>
      <x:c r="B103" s="42"/>
      <x:c r="C103" s="42"/>
      <x:c r="D103" s="42"/>
      <x:c r="E103" s="42"/>
      <x:c r="F103" s="42"/>
      <x:c r="G103" s="42"/>
      <x:c r="H103" s="42"/>
      <x:c r="I103" s="42"/>
      <x:c r="J103" s="42"/>
      <x:c r="K103" s="42"/>
      <x:c r="L103" s="42"/>
      <x:c r="M103" s="42"/>
    </x:row>
    <x:row r="104">
      <x:c r="A104" s="42"/>
      <x:c r="B104" s="42"/>
      <x:c r="C104" s="42"/>
      <x:c r="D104" s="42"/>
      <x:c r="E104" s="42"/>
      <x:c r="F104" s="42"/>
      <x:c r="G104" s="42"/>
      <x:c r="H104" s="42"/>
      <x:c r="I104" s="42"/>
      <x:c r="J104" s="42"/>
      <x:c r="K104" s="42"/>
      <x:c r="L104" s="42"/>
      <x:c r="M104" s="42"/>
    </x:row>
    <x:row r="105">
      <x:c r="A105" s="42"/>
      <x:c r="B105" s="42"/>
      <x:c r="C105" s="42"/>
      <x:c r="D105" s="42"/>
      <x:c r="E105" s="42"/>
      <x:c r="F105" s="42"/>
      <x:c r="G105" s="42"/>
      <x:c r="H105" s="42"/>
      <x:c r="I105" s="42"/>
      <x:c r="J105" s="42"/>
      <x:c r="K105" s="42"/>
      <x:c r="L105" s="42"/>
      <x:c r="M105" s="42"/>
    </x:row>
    <x:row r="106">
      <x:c r="A106" s="42"/>
      <x:c r="B106" s="42"/>
      <x:c r="C106" s="42"/>
      <x:c r="D106" s="42"/>
      <x:c r="E106" s="42"/>
      <x:c r="F106" s="42"/>
      <x:c r="G106" s="42"/>
      <x:c r="H106" s="42"/>
      <x:c r="I106" s="42"/>
      <x:c r="J106" s="42"/>
      <x:c r="K106" s="42"/>
      <x:c r="L106" s="42"/>
      <x:c r="M106" s="42"/>
    </x:row>
    <x:row r="107">
      <x:c r="A107" s="42"/>
      <x:c r="B107" s="42"/>
      <x:c r="C107" s="42"/>
      <x:c r="D107" s="42"/>
      <x:c r="E107" s="42"/>
      <x:c r="F107" s="42"/>
      <x:c r="G107" s="42"/>
      <x:c r="H107" s="42"/>
      <x:c r="I107" s="42"/>
      <x:c r="J107" s="42"/>
      <x:c r="K107" s="42"/>
      <x:c r="L107" s="42"/>
      <x:c r="M107" s="42"/>
    </x:row>
    <x:row r="108">
      <x:c r="A108" s="42"/>
      <x:c r="B108" s="42"/>
      <x:c r="C108" s="42"/>
      <x:c r="D108" s="42"/>
      <x:c r="E108" s="42"/>
      <x:c r="F108" s="42"/>
      <x:c r="G108" s="42"/>
      <x:c r="H108" s="42"/>
      <x:c r="I108" s="42"/>
      <x:c r="J108" s="42"/>
      <x:c r="K108" s="42"/>
      <x:c r="L108" s="42"/>
      <x:c r="M108" s="42"/>
    </x:row>
    <x:row r="109">
      <x:c r="A109" s="42"/>
      <x:c r="B109" s="42"/>
      <x:c r="C109" s="42"/>
      <x:c r="D109" s="42"/>
      <x:c r="E109" s="42"/>
      <x:c r="F109" s="42"/>
      <x:c r="G109" s="42"/>
      <x:c r="H109" s="42"/>
      <x:c r="I109" s="42"/>
      <x:c r="J109" s="42"/>
      <x:c r="K109" s="42"/>
      <x:c r="L109" s="42"/>
      <x:c r="M109" s="42"/>
    </x:row>
    <x:row r="110">
      <x:c r="A110" s="42"/>
      <x:c r="B110" s="42"/>
      <x:c r="C110" s="42"/>
      <x:c r="D110" s="42"/>
      <x:c r="E110" s="42"/>
      <x:c r="F110" s="42"/>
      <x:c r="G110" s="42"/>
      <x:c r="H110" s="42"/>
      <x:c r="I110" s="42"/>
      <x:c r="J110" s="42"/>
      <x:c r="K110" s="42"/>
      <x:c r="L110" s="42"/>
      <x:c r="M110" s="42"/>
    </x:row>
    <x:row r="111">
      <x:c r="A111" s="42"/>
      <x:c r="B111" s="42"/>
      <x:c r="C111" s="42"/>
      <x:c r="D111" s="42"/>
      <x:c r="E111" s="42"/>
      <x:c r="F111" s="42"/>
      <x:c r="G111" s="42"/>
      <x:c r="H111" s="42"/>
      <x:c r="I111" s="42"/>
      <x:c r="J111" s="42"/>
      <x:c r="K111" s="42"/>
      <x:c r="L111" s="42"/>
      <x:c r="M111" s="42"/>
    </x:row>
    <x:row r="112">
      <x:c r="A112" s="42"/>
      <x:c r="B112" s="42"/>
      <x:c r="C112" s="42"/>
      <x:c r="D112" s="42"/>
      <x:c r="E112" s="42"/>
      <x:c r="F112" s="42"/>
      <x:c r="G112" s="42"/>
      <x:c r="H112" s="42"/>
      <x:c r="I112" s="42"/>
      <x:c r="J112" s="42"/>
      <x:c r="K112" s="42"/>
      <x:c r="L112" s="42"/>
      <x:c r="M112" s="42"/>
    </x:row>
    <x:row r="113">
      <x:c r="A113" s="42"/>
      <x:c r="B113" s="42"/>
      <x:c r="C113" s="42"/>
      <x:c r="D113" s="42"/>
      <x:c r="E113" s="42"/>
      <x:c r="F113" s="42"/>
      <x:c r="G113" s="42"/>
      <x:c r="H113" s="42"/>
      <x:c r="I113" s="42"/>
      <x:c r="J113" s="42"/>
      <x:c r="K113" s="42"/>
      <x:c r="L113" s="42"/>
      <x:c r="M113" s="42"/>
    </x:row>
    <x:row r="114">
      <x:c r="A114" s="42"/>
      <x:c r="B114" s="42"/>
      <x:c r="C114" s="42"/>
      <x:c r="D114" s="42"/>
      <x:c r="E114" s="42"/>
      <x:c r="F114" s="42"/>
      <x:c r="G114" s="42"/>
      <x:c r="H114" s="42"/>
      <x:c r="I114" s="42"/>
      <x:c r="J114" s="42"/>
      <x:c r="K114" s="42"/>
      <x:c r="L114" s="42"/>
      <x:c r="M114" s="42"/>
    </x:row>
    <x:row r="115">
      <x:c r="A115" s="42"/>
      <x:c r="B115" s="42"/>
      <x:c r="C115" s="42"/>
      <x:c r="D115" s="42"/>
      <x:c r="E115" s="42"/>
      <x:c r="F115" s="42"/>
      <x:c r="G115" s="42"/>
      <x:c r="H115" s="42"/>
      <x:c r="I115" s="42"/>
      <x:c r="J115" s="42"/>
      <x:c r="K115" s="42"/>
      <x:c r="L115" s="42"/>
      <x:c r="M115" s="42"/>
    </x:row>
    <x:row r="116">
      <x:c r="A116" s="42"/>
      <x:c r="B116" s="42"/>
      <x:c r="C116" s="42"/>
      <x:c r="D116" s="42"/>
      <x:c r="E116" s="42"/>
      <x:c r="F116" s="42"/>
      <x:c r="G116" s="42"/>
      <x:c r="H116" s="42"/>
      <x:c r="I116" s="42"/>
      <x:c r="J116" s="42"/>
      <x:c r="K116" s="42"/>
      <x:c r="L116" s="42"/>
      <x:c r="M116" s="42"/>
    </x:row>
    <x:row r="117">
      <x:c r="A117" s="42"/>
      <x:c r="B117" s="42"/>
      <x:c r="C117" s="42"/>
      <x:c r="D117" s="42"/>
      <x:c r="E117" s="42"/>
      <x:c r="F117" s="42"/>
      <x:c r="G117" s="42"/>
      <x:c r="H117" s="42"/>
      <x:c r="I117" s="42"/>
      <x:c r="J117" s="42"/>
      <x:c r="K117" s="42"/>
      <x:c r="L117" s="42"/>
      <x:c r="M117" s="42"/>
    </x:row>
    <x:row r="118">
      <x:c r="A118" s="42"/>
      <x:c r="B118" s="42"/>
      <x:c r="C118" s="42"/>
      <x:c r="D118" s="42"/>
      <x:c r="E118" s="42"/>
      <x:c r="F118" s="42"/>
      <x:c r="G118" s="42"/>
      <x:c r="H118" s="42"/>
      <x:c r="I118" s="42"/>
      <x:c r="J118" s="42"/>
      <x:c r="K118" s="42"/>
      <x:c r="L118" s="42"/>
      <x:c r="M118" s="42"/>
    </x:row>
    <x:row r="119">
      <x:c r="A119" s="42"/>
      <x:c r="B119" s="42"/>
      <x:c r="C119" s="42"/>
      <x:c r="D119" s="42"/>
      <x:c r="E119" s="42"/>
      <x:c r="F119" s="42"/>
      <x:c r="G119" s="42"/>
      <x:c r="H119" s="42"/>
      <x:c r="I119" s="42"/>
      <x:c r="J119" s="42"/>
      <x:c r="K119" s="42"/>
      <x:c r="L119" s="42"/>
      <x:c r="M119" s="42"/>
    </x:row>
    <x:row r="120">
      <x:c r="A120" s="42"/>
      <x:c r="B120" s="42"/>
      <x:c r="C120" s="42"/>
      <x:c r="D120" s="42"/>
      <x:c r="E120" s="42"/>
      <x:c r="F120" s="42"/>
      <x:c r="G120" s="42"/>
      <x:c r="H120" s="42"/>
      <x:c r="I120" s="42"/>
      <x:c r="J120" s="42"/>
      <x:c r="K120" s="42"/>
      <x:c r="L120" s="42"/>
      <x:c r="M120" s="42"/>
    </x:row>
    <x:row r="121">
      <x:c r="A121" s="42"/>
      <x:c r="B121" s="42"/>
      <x:c r="C121" s="42"/>
      <x:c r="D121" s="42"/>
      <x:c r="E121" s="42"/>
      <x:c r="F121" s="42"/>
      <x:c r="G121" s="42"/>
      <x:c r="H121" s="42"/>
      <x:c r="I121" s="42"/>
      <x:c r="J121" s="42"/>
      <x:c r="K121" s="42"/>
      <x:c r="L121" s="42"/>
      <x:c r="M121" s="42"/>
    </x:row>
    <x:row r="122">
      <x:c r="A122" s="42"/>
      <x:c r="B122" s="42"/>
      <x:c r="C122" s="42"/>
      <x:c r="D122" s="42"/>
      <x:c r="E122" s="42"/>
      <x:c r="F122" s="42"/>
      <x:c r="G122" s="42"/>
      <x:c r="H122" s="42"/>
      <x:c r="I122" s="42"/>
      <x:c r="J122" s="42"/>
      <x:c r="K122" s="42"/>
      <x:c r="L122" s="42"/>
      <x:c r="M122" s="42"/>
    </x:row>
    <x:row r="123">
      <x:c r="A123" s="42"/>
      <x:c r="B123" s="42"/>
      <x:c r="C123" s="42"/>
      <x:c r="D123" s="42"/>
      <x:c r="E123" s="42"/>
      <x:c r="F123" s="42"/>
      <x:c r="G123" s="42"/>
      <x:c r="H123" s="42"/>
      <x:c r="I123" s="42"/>
      <x:c r="J123" s="42"/>
      <x:c r="K123" s="42"/>
      <x:c r="L123" s="42"/>
      <x:c r="M123" s="42"/>
    </x:row>
    <x:row r="124">
      <x:c r="A124" s="42"/>
      <x:c r="B124" s="42"/>
      <x:c r="C124" s="42"/>
      <x:c r="D124" s="42"/>
      <x:c r="E124" s="42"/>
      <x:c r="F124" s="42"/>
      <x:c r="G124" s="42"/>
      <x:c r="H124" s="42"/>
      <x:c r="I124" s="42"/>
      <x:c r="J124" s="42"/>
      <x:c r="K124" s="42"/>
      <x:c r="L124" s="42"/>
      <x:c r="M124" s="42"/>
    </x:row>
    <x:row r="125">
      <x:c r="A125" s="42"/>
      <x:c r="B125" s="42"/>
      <x:c r="C125" s="42"/>
      <x:c r="D125" s="42"/>
      <x:c r="E125" s="42"/>
      <x:c r="F125" s="42"/>
      <x:c r="G125" s="42"/>
      <x:c r="H125" s="42"/>
      <x:c r="I125" s="42"/>
      <x:c r="J125" s="42"/>
      <x:c r="K125" s="42"/>
      <x:c r="L125" s="42"/>
      <x:c r="M125" s="42"/>
    </x:row>
    <x:row r="126">
      <x:c r="A126" s="42"/>
      <x:c r="B126" s="42"/>
      <x:c r="C126" s="42"/>
      <x:c r="D126" s="42"/>
      <x:c r="E126" s="42"/>
      <x:c r="F126" s="42"/>
      <x:c r="G126" s="42"/>
      <x:c r="H126" s="42"/>
      <x:c r="I126" s="42"/>
      <x:c r="J126" s="42"/>
      <x:c r="K126" s="42"/>
      <x:c r="L126" s="42"/>
      <x:c r="M126" s="42"/>
    </x:row>
    <x:row r="127">
      <x:c r="A127" s="42"/>
      <x:c r="B127" s="42"/>
      <x:c r="C127" s="42"/>
      <x:c r="D127" s="42"/>
      <x:c r="E127" s="42"/>
      <x:c r="F127" s="42"/>
      <x:c r="G127" s="42"/>
      <x:c r="H127" s="42"/>
      <x:c r="I127" s="42"/>
      <x:c r="J127" s="42"/>
      <x:c r="K127" s="42"/>
      <x:c r="L127" s="42"/>
      <x:c r="M127" s="42"/>
    </x:row>
    <x:row r="128">
      <x:c r="A128" s="42"/>
      <x:c r="B128" s="42"/>
      <x:c r="C128" s="42"/>
      <x:c r="D128" s="42"/>
      <x:c r="E128" s="42"/>
      <x:c r="F128" s="42"/>
      <x:c r="G128" s="42"/>
      <x:c r="H128" s="42"/>
      <x:c r="I128" s="42"/>
      <x:c r="J128" s="42"/>
      <x:c r="K128" s="42"/>
      <x:c r="L128" s="42"/>
      <x:c r="M128" s="42"/>
    </x:row>
    <x:row r="129">
      <x:c r="A129" s="42"/>
      <x:c r="B129" s="42"/>
      <x:c r="C129" s="42"/>
      <x:c r="D129" s="42"/>
      <x:c r="E129" s="42"/>
      <x:c r="F129" s="42"/>
      <x:c r="G129" s="42"/>
      <x:c r="H129" s="42"/>
      <x:c r="I129" s="42"/>
      <x:c r="J129" s="42"/>
      <x:c r="K129" s="42"/>
      <x:c r="L129" s="42"/>
      <x:c r="M129" s="42"/>
    </x:row>
    <x:row r="130">
      <x:c r="A130" s="42"/>
      <x:c r="B130" s="42"/>
      <x:c r="C130" s="42"/>
      <x:c r="D130" s="42"/>
      <x:c r="E130" s="42"/>
      <x:c r="F130" s="42"/>
      <x:c r="G130" s="42"/>
      <x:c r="H130" s="42"/>
      <x:c r="I130" s="42"/>
      <x:c r="J130" s="42"/>
      <x:c r="K130" s="42"/>
      <x:c r="L130" s="42"/>
      <x:c r="M130" s="42"/>
    </x:row>
    <x:row r="131">
      <x:c r="A131" s="42"/>
      <x:c r="B131" s="42"/>
      <x:c r="C131" s="42"/>
      <x:c r="D131" s="42"/>
      <x:c r="E131" s="42"/>
      <x:c r="F131" s="42"/>
      <x:c r="G131" s="42"/>
      <x:c r="H131" s="42"/>
      <x:c r="I131" s="42"/>
      <x:c r="J131" s="42"/>
      <x:c r="K131" s="42"/>
      <x:c r="L131" s="42"/>
      <x:c r="M131" s="42"/>
    </x:row>
    <x:row r="132">
      <x:c r="A132" s="42"/>
      <x:c r="B132" s="42"/>
      <x:c r="C132" s="42"/>
      <x:c r="D132" s="42"/>
      <x:c r="E132" s="42"/>
      <x:c r="F132" s="42"/>
      <x:c r="G132" s="42"/>
      <x:c r="H132" s="42"/>
      <x:c r="I132" s="42"/>
      <x:c r="J132" s="42"/>
      <x:c r="K132" s="42"/>
      <x:c r="L132" s="42"/>
      <x:c r="M132" s="42"/>
    </x:row>
    <x:row r="133">
      <x:c r="A133" s="42"/>
      <x:c r="B133" s="42"/>
      <x:c r="C133" s="42"/>
      <x:c r="D133" s="42"/>
      <x:c r="E133" s="42"/>
      <x:c r="F133" s="42"/>
      <x:c r="G133" s="42"/>
      <x:c r="H133" s="42"/>
      <x:c r="I133" s="42"/>
      <x:c r="J133" s="42"/>
      <x:c r="K133" s="42"/>
      <x:c r="L133" s="42"/>
      <x:c r="M133" s="42"/>
    </x:row>
    <x:row r="134">
      <x:c r="A134" s="42"/>
      <x:c r="B134" s="42"/>
      <x:c r="C134" s="42"/>
      <x:c r="D134" s="42"/>
      <x:c r="E134" s="42"/>
      <x:c r="F134" s="42"/>
      <x:c r="G134" s="42"/>
      <x:c r="H134" s="42"/>
      <x:c r="I134" s="42"/>
      <x:c r="J134" s="42"/>
      <x:c r="K134" s="42"/>
      <x:c r="L134" s="42"/>
      <x:c r="M134" s="42"/>
    </x:row>
    <x:row r="135">
      <x:c r="A135" s="42"/>
      <x:c r="B135" s="42"/>
      <x:c r="C135" s="42"/>
      <x:c r="D135" s="42"/>
      <x:c r="E135" s="42"/>
      <x:c r="F135" s="42"/>
      <x:c r="G135" s="42"/>
      <x:c r="H135" s="42"/>
      <x:c r="I135" s="42"/>
      <x:c r="J135" s="42"/>
      <x:c r="K135" s="42"/>
      <x:c r="L135" s="42"/>
      <x:c r="M135" s="42"/>
    </x:row>
    <x:row r="136">
      <x:c r="A136" s="42"/>
      <x:c r="B136" s="42"/>
      <x:c r="C136" s="42"/>
      <x:c r="D136" s="42"/>
      <x:c r="E136" s="42"/>
      <x:c r="F136" s="42"/>
      <x:c r="G136" s="42"/>
      <x:c r="H136" s="42"/>
      <x:c r="I136" s="42"/>
      <x:c r="J136" s="42"/>
      <x:c r="K136" s="42"/>
      <x:c r="L136" s="42"/>
      <x:c r="M136" s="42"/>
    </x:row>
    <x:row r="137">
      <x:c r="A137" s="42"/>
      <x:c r="B137" s="42"/>
      <x:c r="C137" s="42"/>
      <x:c r="D137" s="42"/>
      <x:c r="E137" s="42"/>
      <x:c r="F137" s="42"/>
      <x:c r="G137" s="42"/>
      <x:c r="H137" s="42"/>
      <x:c r="I137" s="42"/>
      <x:c r="J137" s="42"/>
      <x:c r="K137" s="42"/>
      <x:c r="L137" s="42"/>
      <x:c r="M137" s="42"/>
    </x:row>
    <x:row r="138">
      <x:c r="A138" s="42"/>
      <x:c r="B138" s="42"/>
      <x:c r="C138" s="42"/>
      <x:c r="D138" s="42"/>
      <x:c r="E138" s="42"/>
      <x:c r="F138" s="42"/>
      <x:c r="G138" s="42"/>
      <x:c r="H138" s="42"/>
      <x:c r="I138" s="42"/>
      <x:c r="J138" s="42"/>
      <x:c r="K138" s="42"/>
      <x:c r="L138" s="42"/>
      <x:c r="M138" s="42"/>
    </x:row>
    <x:row r="139">
      <x:c r="A139" s="42"/>
      <x:c r="B139" s="42"/>
      <x:c r="C139" s="42"/>
      <x:c r="D139" s="42"/>
      <x:c r="E139" s="42"/>
      <x:c r="F139" s="42"/>
      <x:c r="G139" s="42"/>
      <x:c r="H139" s="42"/>
      <x:c r="I139" s="42"/>
      <x:c r="J139" s="42"/>
      <x:c r="K139" s="42"/>
      <x:c r="L139" s="42"/>
      <x:c r="M139" s="42"/>
    </x:row>
    <x:row r="140">
      <x:c r="A140" s="42"/>
      <x:c r="B140" s="42"/>
      <x:c r="C140" s="42"/>
      <x:c r="D140" s="42"/>
      <x:c r="E140" s="42"/>
      <x:c r="F140" s="42"/>
      <x:c r="G140" s="42"/>
      <x:c r="H140" s="42"/>
      <x:c r="I140" s="42"/>
      <x:c r="J140" s="42"/>
      <x:c r="K140" s="42"/>
      <x:c r="L140" s="42"/>
      <x:c r="M140" s="42"/>
    </x:row>
    <x:row r="141">
      <x:c r="A141" s="42"/>
      <x:c r="B141" s="42"/>
      <x:c r="C141" s="42"/>
      <x:c r="D141" s="42"/>
      <x:c r="E141" s="42"/>
      <x:c r="F141" s="42"/>
      <x:c r="G141" s="42"/>
      <x:c r="H141" s="42"/>
      <x:c r="I141" s="42"/>
      <x:c r="J141" s="42"/>
      <x:c r="K141" s="42"/>
      <x:c r="L141" s="42"/>
      <x:c r="M141" s="42"/>
    </x:row>
    <x:row r="142">
      <x:c r="A142" s="42"/>
      <x:c r="B142" s="42"/>
      <x:c r="C142" s="42"/>
      <x:c r="D142" s="42"/>
      <x:c r="E142" s="42"/>
      <x:c r="F142" s="42"/>
      <x:c r="G142" s="42"/>
      <x:c r="H142" s="42"/>
      <x:c r="I142" s="42"/>
      <x:c r="J142" s="42"/>
      <x:c r="K142" s="42"/>
      <x:c r="L142" s="42"/>
      <x:c r="M142" s="42"/>
    </x:row>
    <x:row r="143">
      <x:c r="A143" s="42"/>
      <x:c r="B143" s="42"/>
      <x:c r="C143" s="42"/>
      <x:c r="D143" s="42"/>
      <x:c r="E143" s="42"/>
      <x:c r="F143" s="42"/>
      <x:c r="G143" s="42"/>
      <x:c r="H143" s="42"/>
      <x:c r="I143" s="42"/>
      <x:c r="J143" s="42"/>
      <x:c r="K143" s="42"/>
      <x:c r="L143" s="42"/>
      <x:c r="M143" s="42"/>
    </x:row>
    <x:row r="144">
      <x:c r="A144" s="42"/>
      <x:c r="B144" s="42"/>
      <x:c r="C144" s="42"/>
      <x:c r="D144" s="42"/>
      <x:c r="E144" s="42"/>
      <x:c r="F144" s="42"/>
      <x:c r="G144" s="42"/>
      <x:c r="H144" s="42"/>
      <x:c r="I144" s="42"/>
      <x:c r="J144" s="42"/>
      <x:c r="K144" s="42"/>
      <x:c r="L144" s="42"/>
      <x:c r="M144" s="42"/>
    </x:row>
    <x:row r="145">
      <x:c r="A145" s="42"/>
      <x:c r="B145" s="42"/>
      <x:c r="C145" s="42"/>
      <x:c r="D145" s="42"/>
      <x:c r="E145" s="42"/>
      <x:c r="F145" s="42"/>
      <x:c r="G145" s="42"/>
      <x:c r="H145" s="42"/>
      <x:c r="I145" s="42"/>
      <x:c r="J145" s="42"/>
      <x:c r="K145" s="42"/>
      <x:c r="L145" s="42"/>
      <x:c r="M145" s="42"/>
    </x:row>
    <x:row r="146">
      <x:c r="A146" s="42"/>
      <x:c r="B146" s="42"/>
      <x:c r="C146" s="42"/>
      <x:c r="D146" s="42"/>
      <x:c r="E146" s="42"/>
      <x:c r="F146" s="42"/>
      <x:c r="G146" s="42"/>
      <x:c r="H146" s="42"/>
      <x:c r="I146" s="42"/>
      <x:c r="J146" s="42"/>
      <x:c r="K146" s="42"/>
      <x:c r="L146" s="42"/>
      <x:c r="M146" s="42"/>
    </x:row>
    <x:row r="147">
      <x:c r="A147" s="42"/>
      <x:c r="B147" s="42"/>
      <x:c r="C147" s="42"/>
      <x:c r="D147" s="42"/>
      <x:c r="E147" s="42"/>
      <x:c r="F147" s="42"/>
      <x:c r="G147" s="42"/>
      <x:c r="H147" s="42"/>
      <x:c r="I147" s="42"/>
      <x:c r="J147" s="42"/>
      <x:c r="K147" s="42"/>
      <x:c r="L147" s="42"/>
      <x:c r="M147" s="42"/>
    </x:row>
    <x:row r="148">
      <x:c r="A148" s="42"/>
      <x:c r="B148" s="42"/>
      <x:c r="C148" s="42"/>
      <x:c r="D148" s="42"/>
      <x:c r="E148" s="42"/>
      <x:c r="F148" s="42"/>
      <x:c r="G148" s="42"/>
      <x:c r="H148" s="42"/>
      <x:c r="I148" s="42"/>
      <x:c r="J148" s="42"/>
      <x:c r="K148" s="42"/>
      <x:c r="L148" s="42"/>
      <x:c r="M148" s="42"/>
    </x:row>
    <x:row r="149">
      <x:c r="A149" s="42"/>
      <x:c r="B149" s="42"/>
      <x:c r="C149" s="42"/>
      <x:c r="D149" s="42"/>
      <x:c r="E149" s="42"/>
      <x:c r="F149" s="42"/>
      <x:c r="G149" s="42"/>
      <x:c r="H149" s="42"/>
      <x:c r="I149" s="42"/>
      <x:c r="J149" s="42"/>
      <x:c r="K149" s="42"/>
      <x:c r="L149" s="42"/>
      <x:c r="M149" s="42"/>
    </x:row>
    <x:row r="150">
      <x:c r="A150" s="42"/>
      <x:c r="B150" s="42"/>
      <x:c r="C150" s="42"/>
      <x:c r="D150" s="42"/>
      <x:c r="E150" s="42"/>
      <x:c r="F150" s="42"/>
      <x:c r="G150" s="42"/>
      <x:c r="H150" s="42"/>
      <x:c r="I150" s="42"/>
      <x:c r="J150" s="42"/>
      <x:c r="K150" s="42"/>
      <x:c r="L150" s="42"/>
      <x:c r="M150" s="42"/>
    </x:row>
    <x:row r="151">
      <x:c r="A151" s="42"/>
      <x:c r="B151" s="42"/>
      <x:c r="C151" s="42"/>
      <x:c r="D151" s="42"/>
      <x:c r="E151" s="42"/>
      <x:c r="F151" s="42"/>
      <x:c r="G151" s="42"/>
      <x:c r="H151" s="42"/>
      <x:c r="I151" s="42"/>
      <x:c r="J151" s="42"/>
      <x:c r="K151" s="42"/>
      <x:c r="L151" s="42"/>
      <x:c r="M151" s="42"/>
    </x:row>
    <x:row r="152">
      <x:c r="A152" s="42"/>
      <x:c r="B152" s="42"/>
      <x:c r="C152" s="42"/>
      <x:c r="D152" s="42"/>
      <x:c r="E152" s="42"/>
      <x:c r="F152" s="42"/>
      <x:c r="G152" s="42"/>
      <x:c r="H152" s="42"/>
      <x:c r="I152" s="42"/>
      <x:c r="J152" s="42"/>
      <x:c r="K152" s="42"/>
      <x:c r="L152" s="42"/>
      <x:c r="M152" s="42"/>
    </x:row>
    <x:row r="153">
      <x:c r="A153" s="42"/>
      <x:c r="B153" s="42"/>
      <x:c r="C153" s="42"/>
      <x:c r="D153" s="42"/>
      <x:c r="E153" s="42"/>
      <x:c r="F153" s="42"/>
      <x:c r="G153" s="42"/>
      <x:c r="H153" s="42"/>
      <x:c r="I153" s="42"/>
      <x:c r="J153" s="42"/>
      <x:c r="K153" s="42"/>
      <x:c r="L153" s="42"/>
      <x:c r="M153" s="42"/>
    </x:row>
    <x:row r="154">
      <x:c r="A154" s="42"/>
      <x:c r="B154" s="42"/>
      <x:c r="C154" s="42"/>
      <x:c r="D154" s="42"/>
      <x:c r="E154" s="42"/>
      <x:c r="F154" s="42"/>
      <x:c r="G154" s="42"/>
      <x:c r="H154" s="42"/>
      <x:c r="I154" s="42"/>
      <x:c r="J154" s="42"/>
      <x:c r="K154" s="42"/>
      <x:c r="L154" s="42"/>
      <x:c r="M154" s="42"/>
    </x:row>
    <x:row r="155">
      <x:c r="A155" s="42"/>
      <x:c r="B155" s="42"/>
      <x:c r="C155" s="42"/>
      <x:c r="D155" s="42"/>
      <x:c r="E155" s="42"/>
      <x:c r="F155" s="42"/>
      <x:c r="G155" s="42"/>
      <x:c r="H155" s="42"/>
      <x:c r="I155" s="42"/>
      <x:c r="J155" s="42"/>
      <x:c r="K155" s="42"/>
      <x:c r="L155" s="42"/>
      <x:c r="M155" s="42"/>
    </x:row>
    <x:row r="156">
      <x:c r="A156" s="42"/>
      <x:c r="B156" s="42"/>
      <x:c r="C156" s="42"/>
      <x:c r="D156" s="42"/>
      <x:c r="E156" s="42"/>
      <x:c r="F156" s="42"/>
      <x:c r="G156" s="42"/>
      <x:c r="H156" s="42"/>
      <x:c r="I156" s="42"/>
      <x:c r="J156" s="42"/>
      <x:c r="K156" s="42"/>
      <x:c r="L156" s="42"/>
      <x:c r="M156" s="42"/>
    </x:row>
    <x:row r="157">
      <x:c r="A157" s="42"/>
      <x:c r="B157" s="42"/>
      <x:c r="C157" s="42"/>
      <x:c r="D157" s="42"/>
      <x:c r="E157" s="42"/>
      <x:c r="F157" s="42"/>
      <x:c r="G157" s="42"/>
      <x:c r="H157" s="42"/>
      <x:c r="I157" s="42"/>
      <x:c r="J157" s="42"/>
      <x:c r="K157" s="42"/>
      <x:c r="L157" s="42"/>
      <x:c r="M157" s="42"/>
    </x:row>
    <x:row r="158">
      <x:c r="A158" s="42"/>
      <x:c r="B158" s="42"/>
      <x:c r="C158" s="42"/>
      <x:c r="D158" s="42"/>
      <x:c r="E158" s="42"/>
      <x:c r="F158" s="42"/>
      <x:c r="G158" s="42"/>
      <x:c r="H158" s="42"/>
      <x:c r="I158" s="42"/>
      <x:c r="J158" s="42"/>
      <x:c r="K158" s="42"/>
      <x:c r="L158" s="42"/>
      <x:c r="M158" s="42"/>
    </x:row>
    <x:row r="159">
      <x:c r="A159" s="42"/>
      <x:c r="B159" s="42"/>
      <x:c r="C159" s="42"/>
      <x:c r="D159" s="42"/>
      <x:c r="E159" s="42"/>
      <x:c r="F159" s="42"/>
      <x:c r="G159" s="42"/>
      <x:c r="H159" s="42"/>
      <x:c r="I159" s="42"/>
      <x:c r="J159" s="42"/>
      <x:c r="K159" s="42"/>
      <x:c r="L159" s="42"/>
      <x:c r="M159" s="42"/>
    </x:row>
    <x:row r="160">
      <x:c r="A160" s="42"/>
      <x:c r="B160" s="42"/>
      <x:c r="C160" s="42"/>
      <x:c r="D160" s="42"/>
      <x:c r="E160" s="42"/>
      <x:c r="F160" s="42"/>
      <x:c r="G160" s="42"/>
      <x:c r="H160" s="42"/>
      <x:c r="I160" s="42"/>
      <x:c r="J160" s="42"/>
      <x:c r="K160" s="42"/>
      <x:c r="L160" s="42"/>
      <x:c r="M160" s="42"/>
    </x:row>
    <x:row r="161">
      <x:c r="A161" s="42"/>
      <x:c r="B161" s="42"/>
      <x:c r="C161" s="42"/>
      <x:c r="D161" s="42"/>
      <x:c r="E161" s="42"/>
      <x:c r="F161" s="42"/>
      <x:c r="G161" s="42"/>
      <x:c r="H161" s="42"/>
      <x:c r="I161" s="42"/>
      <x:c r="J161" s="42"/>
      <x:c r="K161" s="42"/>
      <x:c r="L161" s="42"/>
      <x:c r="M161" s="42"/>
    </x:row>
    <x:row r="162">
      <x:c r="A162" s="42"/>
      <x:c r="B162" s="42"/>
      <x:c r="C162" s="42"/>
      <x:c r="D162" s="42"/>
      <x:c r="E162" s="42"/>
      <x:c r="F162" s="42"/>
      <x:c r="G162" s="42"/>
      <x:c r="H162" s="42"/>
      <x:c r="I162" s="42"/>
      <x:c r="J162" s="42"/>
      <x:c r="K162" s="42"/>
      <x:c r="L162" s="42"/>
      <x:c r="M162" s="42"/>
    </x:row>
    <x:row r="163">
      <x:c r="A163" s="42"/>
      <x:c r="B163" s="42"/>
      <x:c r="C163" s="42"/>
      <x:c r="D163" s="42"/>
      <x:c r="E163" s="42"/>
      <x:c r="F163" s="42"/>
      <x:c r="G163" s="42"/>
      <x:c r="H163" s="42"/>
      <x:c r="I163" s="42"/>
      <x:c r="J163" s="42"/>
      <x:c r="K163" s="42"/>
      <x:c r="L163" s="42"/>
      <x:c r="M163" s="42"/>
    </x:row>
    <x:row r="164">
      <x:c r="A164" s="42"/>
      <x:c r="B164" s="42"/>
      <x:c r="C164" s="42"/>
      <x:c r="D164" s="42"/>
      <x:c r="E164" s="42"/>
      <x:c r="F164" s="42"/>
      <x:c r="G164" s="42"/>
      <x:c r="H164" s="42"/>
      <x:c r="I164" s="42"/>
      <x:c r="J164" s="42"/>
      <x:c r="K164" s="42"/>
      <x:c r="L164" s="42"/>
      <x:c r="M164" s="42"/>
    </x:row>
    <x:row r="165">
      <x:c r="A165" s="42"/>
      <x:c r="B165" s="42"/>
      <x:c r="C165" s="42"/>
      <x:c r="D165" s="42"/>
      <x:c r="E165" s="42"/>
      <x:c r="F165" s="42"/>
      <x:c r="G165" s="42"/>
      <x:c r="H165" s="42"/>
      <x:c r="I165" s="42"/>
      <x:c r="J165" s="42"/>
      <x:c r="K165" s="42"/>
      <x:c r="L165" s="42"/>
      <x:c r="M165" s="42"/>
    </x:row>
    <x:row r="166">
      <x:c r="A166" s="42"/>
      <x:c r="B166" s="42"/>
      <x:c r="C166" s="42"/>
      <x:c r="D166" s="42"/>
      <x:c r="E166" s="42"/>
      <x:c r="F166" s="42"/>
      <x:c r="G166" s="42"/>
      <x:c r="H166" s="42"/>
      <x:c r="I166" s="42"/>
      <x:c r="J166" s="42"/>
      <x:c r="K166" s="42"/>
      <x:c r="L166" s="42"/>
      <x:c r="M166" s="42"/>
    </x:row>
    <x:row r="167">
      <x:c r="A167" s="42"/>
      <x:c r="B167" s="42"/>
      <x:c r="C167" s="42"/>
      <x:c r="D167" s="42"/>
      <x:c r="E167" s="42"/>
      <x:c r="F167" s="42"/>
      <x:c r="G167" s="42"/>
      <x:c r="H167" s="42"/>
      <x:c r="I167" s="42"/>
      <x:c r="J167" s="42"/>
      <x:c r="K167" s="42"/>
      <x:c r="L167" s="42"/>
      <x:c r="M167" s="42"/>
    </x:row>
    <x:row r="168">
      <x:c r="A168" s="42"/>
      <x:c r="B168" s="42"/>
      <x:c r="C168" s="42"/>
      <x:c r="D168" s="42"/>
      <x:c r="E168" s="42"/>
      <x:c r="F168" s="42"/>
      <x:c r="G168" s="42"/>
      <x:c r="H168" s="42"/>
      <x:c r="I168" s="42"/>
      <x:c r="J168" s="42"/>
      <x:c r="K168" s="42"/>
      <x:c r="L168" s="42"/>
      <x:c r="M168" s="42"/>
    </x:row>
    <x:row r="169">
      <x:c r="A169" s="42"/>
      <x:c r="B169" s="42"/>
      <x:c r="C169" s="42"/>
      <x:c r="D169" s="42"/>
      <x:c r="E169" s="42"/>
      <x:c r="F169" s="42"/>
      <x:c r="G169" s="42"/>
      <x:c r="H169" s="42"/>
      <x:c r="I169" s="42"/>
      <x:c r="J169" s="42"/>
      <x:c r="K169" s="42"/>
      <x:c r="L169" s="42"/>
      <x:c r="M169" s="42"/>
    </x:row>
    <x:row r="170">
      <x:c r="A170" s="42"/>
      <x:c r="B170" s="42"/>
      <x:c r="C170" s="42"/>
      <x:c r="D170" s="42"/>
      <x:c r="E170" s="42"/>
      <x:c r="F170" s="42"/>
      <x:c r="G170" s="42"/>
      <x:c r="H170" s="42"/>
      <x:c r="I170" s="42"/>
      <x:c r="J170" s="42"/>
      <x:c r="K170" s="42"/>
      <x:c r="L170" s="42"/>
      <x:c r="M170" s="42"/>
    </x:row>
    <x:row r="171">
      <x:c r="A171" s="42"/>
      <x:c r="B171" s="42"/>
      <x:c r="C171" s="42"/>
      <x:c r="D171" s="42"/>
      <x:c r="E171" s="42"/>
      <x:c r="F171" s="42"/>
      <x:c r="G171" s="42"/>
      <x:c r="H171" s="42"/>
      <x:c r="I171" s="42"/>
      <x:c r="J171" s="42"/>
      <x:c r="K171" s="42"/>
      <x:c r="L171" s="42"/>
      <x:c r="M171" s="42"/>
    </x:row>
    <x:row r="172">
      <x:c r="A172" s="42"/>
      <x:c r="B172" s="42"/>
      <x:c r="C172" s="42"/>
      <x:c r="D172" s="42"/>
      <x:c r="E172" s="42"/>
      <x:c r="F172" s="42"/>
      <x:c r="G172" s="42"/>
      <x:c r="H172" s="42"/>
      <x:c r="I172" s="42"/>
      <x:c r="J172" s="42"/>
      <x:c r="K172" s="42"/>
      <x:c r="L172" s="42"/>
      <x:c r="M172" s="42"/>
    </x:row>
    <x:row r="173">
      <x:c r="A173" s="42"/>
      <x:c r="B173" s="42"/>
      <x:c r="C173" s="42"/>
      <x:c r="D173" s="42"/>
      <x:c r="E173" s="42"/>
      <x:c r="F173" s="42"/>
      <x:c r="G173" s="42"/>
      <x:c r="H173" s="42"/>
      <x:c r="I173" s="42"/>
      <x:c r="J173" s="42"/>
      <x:c r="K173" s="42"/>
      <x:c r="L173" s="42"/>
      <x:c r="M173" s="42"/>
    </x:row>
    <x:row r="174">
      <x:c r="A174" s="42"/>
      <x:c r="B174" s="42"/>
      <x:c r="C174" s="42"/>
      <x:c r="D174" s="42"/>
      <x:c r="E174" s="42"/>
      <x:c r="F174" s="42"/>
      <x:c r="G174" s="42"/>
      <x:c r="H174" s="42"/>
      <x:c r="I174" s="42"/>
      <x:c r="J174" s="42"/>
      <x:c r="K174" s="42"/>
      <x:c r="L174" s="42"/>
      <x:c r="M174" s="42"/>
    </x:row>
    <x:row r="175">
      <x:c r="A175" s="42"/>
      <x:c r="B175" s="42"/>
      <x:c r="C175" s="42"/>
      <x:c r="D175" s="42"/>
      <x:c r="E175" s="42"/>
      <x:c r="F175" s="42"/>
      <x:c r="G175" s="42"/>
      <x:c r="H175" s="42"/>
      <x:c r="I175" s="42"/>
      <x:c r="J175" s="42"/>
      <x:c r="K175" s="42"/>
      <x:c r="L175" s="42"/>
      <x:c r="M175" s="42"/>
    </x:row>
    <x:row r="176">
      <x:c r="A176" s="42"/>
      <x:c r="B176" s="42"/>
      <x:c r="C176" s="42"/>
      <x:c r="D176" s="42"/>
      <x:c r="E176" s="42"/>
      <x:c r="F176" s="42"/>
      <x:c r="G176" s="42"/>
      <x:c r="H176" s="42"/>
      <x:c r="I176" s="42"/>
      <x:c r="J176" s="42"/>
      <x:c r="K176" s="42"/>
      <x:c r="L176" s="42"/>
      <x:c r="M176" s="42"/>
    </x:row>
    <x:row r="177">
      <x:c r="A177" s="42"/>
      <x:c r="B177" s="42"/>
      <x:c r="C177" s="42"/>
      <x:c r="D177" s="42"/>
      <x:c r="E177" s="42"/>
      <x:c r="F177" s="42"/>
      <x:c r="G177" s="42"/>
      <x:c r="H177" s="42"/>
      <x:c r="I177" s="42"/>
      <x:c r="J177" s="42"/>
      <x:c r="K177" s="42"/>
      <x:c r="L177" s="42"/>
      <x:c r="M177" s="42"/>
    </x:row>
    <x:row r="178">
      <x:c r="A178" s="42"/>
      <x:c r="B178" s="42"/>
      <x:c r="C178" s="42"/>
      <x:c r="D178" s="42"/>
      <x:c r="E178" s="42"/>
      <x:c r="F178" s="42"/>
      <x:c r="G178" s="42"/>
      <x:c r="H178" s="42"/>
      <x:c r="I178" s="42"/>
      <x:c r="J178" s="42"/>
      <x:c r="K178" s="42"/>
      <x:c r="L178" s="42"/>
      <x:c r="M178" s="42"/>
    </x:row>
    <x:row r="179">
      <x:c r="A179" s="42"/>
      <x:c r="B179" s="42"/>
      <x:c r="C179" s="42"/>
      <x:c r="D179" s="42"/>
      <x:c r="E179" s="42"/>
      <x:c r="F179" s="42"/>
      <x:c r="G179" s="42"/>
      <x:c r="H179" s="42"/>
      <x:c r="I179" s="42"/>
      <x:c r="J179" s="42"/>
      <x:c r="K179" s="42"/>
      <x:c r="L179" s="42"/>
      <x:c r="M179" s="42"/>
    </x:row>
    <x:row r="180">
      <x:c r="A180" s="42"/>
      <x:c r="B180" s="42"/>
      <x:c r="C180" s="42"/>
      <x:c r="D180" s="42"/>
      <x:c r="E180" s="42"/>
      <x:c r="F180" s="42"/>
      <x:c r="G180" s="42"/>
      <x:c r="H180" s="42"/>
      <x:c r="I180" s="42"/>
      <x:c r="J180" s="42"/>
      <x:c r="K180" s="42"/>
      <x:c r="L180" s="42"/>
      <x:c r="M180" s="42"/>
    </x:row>
    <x:row r="181">
      <x:c r="A181" s="42"/>
      <x:c r="B181" s="42"/>
      <x:c r="C181" s="42"/>
      <x:c r="D181" s="42"/>
      <x:c r="E181" s="42"/>
      <x:c r="F181" s="42"/>
      <x:c r="G181" s="42"/>
      <x:c r="H181" s="42"/>
      <x:c r="I181" s="42"/>
      <x:c r="J181" s="42"/>
      <x:c r="K181" s="42"/>
      <x:c r="L181" s="42"/>
      <x:c r="M181" s="42"/>
    </x:row>
    <x:row r="182">
      <x:c r="A182" s="42"/>
      <x:c r="B182" s="42"/>
      <x:c r="C182" s="42"/>
      <x:c r="D182" s="42"/>
      <x:c r="E182" s="42"/>
      <x:c r="F182" s="42"/>
      <x:c r="G182" s="42"/>
      <x:c r="H182" s="42"/>
      <x:c r="I182" s="42"/>
      <x:c r="J182" s="42"/>
      <x:c r="K182" s="42"/>
      <x:c r="L182" s="42"/>
      <x:c r="M182" s="42"/>
    </x:row>
    <x:row r="183">
      <x:c r="A183" s="42"/>
      <x:c r="B183" s="42"/>
      <x:c r="C183" s="42"/>
      <x:c r="D183" s="42"/>
      <x:c r="E183" s="42"/>
      <x:c r="F183" s="42"/>
      <x:c r="G183" s="42"/>
      <x:c r="H183" s="42"/>
      <x:c r="I183" s="42"/>
      <x:c r="J183" s="42"/>
      <x:c r="K183" s="42"/>
      <x:c r="L183" s="42"/>
      <x:c r="M183" s="42"/>
    </x:row>
    <x:row r="184">
      <x:c r="A184" s="42"/>
      <x:c r="B184" s="42"/>
      <x:c r="C184" s="42"/>
      <x:c r="D184" s="42"/>
      <x:c r="E184" s="42"/>
      <x:c r="F184" s="42"/>
      <x:c r="G184" s="42"/>
      <x:c r="H184" s="42"/>
      <x:c r="I184" s="42"/>
      <x:c r="J184" s="42"/>
      <x:c r="K184" s="42"/>
      <x:c r="L184" s="42"/>
      <x:c r="M184" s="42"/>
    </x:row>
    <x:row r="185">
      <x:c r="A185" s="42"/>
      <x:c r="B185" s="42"/>
      <x:c r="C185" s="42"/>
      <x:c r="D185" s="42"/>
      <x:c r="E185" s="42"/>
      <x:c r="F185" s="42"/>
      <x:c r="G185" s="42"/>
      <x:c r="H185" s="42"/>
      <x:c r="I185" s="42"/>
      <x:c r="J185" s="42"/>
      <x:c r="K185" s="42"/>
      <x:c r="L185" s="42"/>
      <x:c r="M185" s="42"/>
    </x:row>
    <x:row r="186">
      <x:c r="A186" s="42"/>
      <x:c r="B186" s="42"/>
      <x:c r="C186" s="42"/>
      <x:c r="D186" s="42"/>
      <x:c r="E186" s="42"/>
      <x:c r="F186" s="42"/>
      <x:c r="G186" s="42"/>
      <x:c r="H186" s="42"/>
      <x:c r="I186" s="42"/>
      <x:c r="J186" s="42"/>
      <x:c r="K186" s="42"/>
      <x:c r="L186" s="42"/>
      <x:c r="M186" s="42"/>
    </x:row>
    <x:row r="187">
      <x:c r="A187" s="42"/>
      <x:c r="B187" s="42"/>
      <x:c r="C187" s="42"/>
      <x:c r="D187" s="42"/>
      <x:c r="E187" s="42"/>
      <x:c r="F187" s="42"/>
      <x:c r="G187" s="42"/>
      <x:c r="H187" s="42"/>
      <x:c r="I187" s="42"/>
      <x:c r="J187" s="42"/>
      <x:c r="K187" s="42"/>
      <x:c r="L187" s="42"/>
      <x:c r="M187" s="42"/>
    </x:row>
    <x:row r="188">
      <x:c r="A188" s="42"/>
      <x:c r="B188" s="42"/>
      <x:c r="C188" s="42"/>
      <x:c r="D188" s="42"/>
      <x:c r="E188" s="42"/>
      <x:c r="F188" s="42"/>
      <x:c r="G188" s="42"/>
      <x:c r="H188" s="42"/>
      <x:c r="I188" s="42"/>
      <x:c r="J188" s="42"/>
      <x:c r="K188" s="42"/>
      <x:c r="L188" s="42"/>
      <x:c r="M188" s="42"/>
    </x:row>
    <x:row r="189">
      <x:c r="A189" s="42"/>
      <x:c r="B189" s="42"/>
      <x:c r="C189" s="42"/>
      <x:c r="D189" s="42"/>
      <x:c r="E189" s="42"/>
      <x:c r="F189" s="42"/>
      <x:c r="G189" s="42"/>
      <x:c r="H189" s="42"/>
      <x:c r="I189" s="42"/>
      <x:c r="J189" s="42"/>
      <x:c r="K189" s="42"/>
      <x:c r="L189" s="42"/>
      <x:c r="M189" s="42"/>
    </x:row>
    <x:row r="190">
      <x:c r="A190" s="42"/>
      <x:c r="B190" s="42"/>
      <x:c r="C190" s="42"/>
      <x:c r="D190" s="42"/>
      <x:c r="E190" s="42"/>
      <x:c r="F190" s="42"/>
      <x:c r="G190" s="42"/>
      <x:c r="H190" s="42"/>
      <x:c r="I190" s="42"/>
      <x:c r="J190" s="42"/>
      <x:c r="K190" s="42"/>
      <x:c r="L190" s="42"/>
      <x:c r="M190" s="42"/>
    </x:row>
    <x:row r="191">
      <x:c r="A191" s="42"/>
      <x:c r="B191" s="42"/>
      <x:c r="C191" s="42"/>
      <x:c r="D191" s="42"/>
      <x:c r="E191" s="42"/>
      <x:c r="F191" s="42"/>
      <x:c r="G191" s="42"/>
      <x:c r="H191" s="42"/>
      <x:c r="I191" s="42"/>
      <x:c r="J191" s="42"/>
      <x:c r="K191" s="42"/>
      <x:c r="L191" s="42"/>
      <x:c r="M191" s="42"/>
    </x:row>
    <x:row r="192">
      <x:c r="A192" s="42"/>
      <x:c r="B192" s="42"/>
      <x:c r="C192" s="42"/>
      <x:c r="D192" s="42"/>
      <x:c r="E192" s="42"/>
      <x:c r="F192" s="42"/>
      <x:c r="G192" s="42"/>
      <x:c r="H192" s="42"/>
      <x:c r="I192" s="42"/>
      <x:c r="J192" s="42"/>
      <x:c r="K192" s="42"/>
      <x:c r="L192" s="42"/>
      <x:c r="M192" s="42"/>
    </x:row>
    <x:row r="193">
      <x:c r="A193" s="42"/>
      <x:c r="B193" s="42"/>
      <x:c r="C193" s="42"/>
      <x:c r="D193" s="42"/>
      <x:c r="E193" s="42"/>
      <x:c r="F193" s="42"/>
      <x:c r="G193" s="42"/>
      <x:c r="H193" s="42"/>
      <x:c r="I193" s="42"/>
      <x:c r="J193" s="42"/>
      <x:c r="K193" s="42"/>
      <x:c r="L193" s="42"/>
      <x:c r="M193" s="42"/>
    </x:row>
    <x:row r="194">
      <x:c r="A194" s="42"/>
      <x:c r="B194" s="42"/>
      <x:c r="C194" s="42"/>
      <x:c r="D194" s="42"/>
      <x:c r="E194" s="42"/>
      <x:c r="F194" s="42"/>
      <x:c r="G194" s="42"/>
      <x:c r="H194" s="42"/>
      <x:c r="I194" s="42"/>
      <x:c r="J194" s="42"/>
      <x:c r="K194" s="42"/>
      <x:c r="L194" s="42"/>
      <x:c r="M194" s="42"/>
    </x:row>
    <x:row r="195">
      <x:c r="A195" s="42"/>
      <x:c r="B195" s="42"/>
      <x:c r="C195" s="42"/>
      <x:c r="D195" s="42"/>
      <x:c r="E195" s="42"/>
      <x:c r="F195" s="42"/>
      <x:c r="G195" s="42"/>
      <x:c r="H195" s="42"/>
      <x:c r="I195" s="42"/>
      <x:c r="J195" s="42"/>
      <x:c r="K195" s="42"/>
      <x:c r="L195" s="42"/>
      <x:c r="M195" s="42"/>
    </x:row>
    <x:row r="196">
      <x:c r="A196" s="42"/>
      <x:c r="B196" s="42"/>
      <x:c r="C196" s="42"/>
      <x:c r="D196" s="42"/>
      <x:c r="E196" s="42"/>
      <x:c r="F196" s="42"/>
      <x:c r="G196" s="42"/>
      <x:c r="H196" s="42"/>
      <x:c r="I196" s="42"/>
      <x:c r="J196" s="42"/>
      <x:c r="K196" s="42"/>
      <x:c r="L196" s="42"/>
      <x:c r="M196" s="42"/>
    </x:row>
    <x:row r="197">
      <x:c r="A197" s="42"/>
      <x:c r="B197" s="42"/>
      <x:c r="C197" s="42"/>
      <x:c r="D197" s="42"/>
      <x:c r="E197" s="42"/>
      <x:c r="F197" s="42"/>
      <x:c r="G197" s="42"/>
      <x:c r="H197" s="42"/>
      <x:c r="I197" s="42"/>
      <x:c r="J197" s="42"/>
      <x:c r="K197" s="42"/>
      <x:c r="L197" s="42"/>
      <x:c r="M197" s="42"/>
    </x:row>
    <x:row r="198">
      <x:c r="A198" s="42"/>
      <x:c r="B198" s="42"/>
      <x:c r="C198" s="42"/>
      <x:c r="D198" s="42"/>
      <x:c r="E198" s="42"/>
      <x:c r="F198" s="42"/>
      <x:c r="G198" s="42"/>
      <x:c r="H198" s="42"/>
      <x:c r="I198" s="42"/>
      <x:c r="J198" s="42"/>
      <x:c r="K198" s="42"/>
      <x:c r="L198" s="42"/>
      <x:c r="M198" s="42"/>
    </x:row>
    <x:row r="199">
      <x:c r="A199" s="42"/>
      <x:c r="B199" s="42"/>
      <x:c r="C199" s="42"/>
      <x:c r="D199" s="42"/>
      <x:c r="E199" s="42"/>
      <x:c r="F199" s="42"/>
      <x:c r="G199" s="42"/>
      <x:c r="H199" s="42"/>
      <x:c r="I199" s="42"/>
      <x:c r="J199" s="42"/>
      <x:c r="K199" s="42"/>
      <x:c r="L199" s="42"/>
      <x:c r="M199" s="42"/>
    </x:row>
    <x:row r="200">
      <x:c r="A200" s="42"/>
      <x:c r="B200" s="42"/>
      <x:c r="C200" s="42"/>
      <x:c r="D200" s="42"/>
      <x:c r="E200" s="42"/>
      <x:c r="F200" s="42"/>
      <x:c r="G200" s="42"/>
      <x:c r="H200" s="42"/>
      <x:c r="I200" s="42"/>
      <x:c r="J200" s="42"/>
      <x:c r="K200" s="42"/>
      <x:c r="L200" s="42"/>
      <x:c r="M200" s="42"/>
    </x:row>
  </x:sheetData>
  <x:mergeCells>
    <x:mergeCell ref="A1:M1"/>
    <x:mergeCell ref="A2:M2"/>
  </x:mergeCells>
  <x:pageMargins left="0.7" right="0.7" top="0.75" bottom="0.75" header="0.3" footer="0.3"/>
  <x:drawing xmlns:r="http://schemas.openxmlformats.org/officeDocument/2006/relationships" r:id="Re367c5e3568e4631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" hidden="0" customWidth="1"/>
    <x:col min="2" max="2" width="11.880000114440918" hidden="0" customWidth="1"/>
    <x:col min="3" max="3" width="11.880000114440918" hidden="0" customWidth="1"/>
    <x:col min="4" max="4" width="11.880000114440918" hidden="0" customWidth="1"/>
    <x:col min="5" max="5" width="11.880000114440918" hidden="0" customWidth="1"/>
    <x:col min="6" max="6" width="11.880000114440918" hidden="0" customWidth="1"/>
    <x:col min="7" max="7" width="11.880000114440918" hidden="0" customWidth="1"/>
    <x:col min="8" max="8" width="11.880000114440918" hidden="0" customWidth="1"/>
    <x:col min="9" max="9" width="11.880000114440918" hidden="0" customWidth="1"/>
    <x:col min="10" max="10" width="11.880000114440918" hidden="0" customWidth="1"/>
    <x:col min="11" max="11" width="11.880000114440918" hidden="0" customWidth="1"/>
    <x:col min="12" max="12" width="11.880000114440918" hidden="0" customWidth="1"/>
    <x:col min="13" max="13" width="11.880000114440918" hidden="0" customWidth="1"/>
  </x:cols>
  <x:sheetData>
    <x:row r="1" ht="25.5" customHeight="1">
      <x:c r="A1" s="41" t="str">
        <x:v>Лист 8. ARR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</x:row>
    <x:row r="2" ht="22.5" customHeight="1">
      <x:c r="A2" s="43" t="str">
        <x:v>Annual Recurring Revenue как годовой run-rate от MRR.</x:v>
      </x:c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</x:row>
    <x:row r="3">
      <x:c r="A3" s="42"/>
      <x:c r="B3" s="42"/>
      <x:c r="C3" s="42"/>
      <x:c r="D3" s="42"/>
      <x:c r="E3" s="42"/>
      <x:c r="F3" s="42"/>
      <x:c r="G3" s="42"/>
      <x:c r="H3" s="42"/>
      <x:c r="I3" s="42"/>
      <x:c r="J3" s="42"/>
      <x:c r="K3" s="42"/>
      <x:c r="L3" s="42"/>
      <x:c r="M3" s="42"/>
    </x:row>
    <x:row r="4">
      <x:c r="A4" s="44" t="str">
        <x:v>Показатель</x:v>
      </x:c>
      <x:c r="B4" s="44" t="str">
        <x:v>М1</x:v>
      </x:c>
      <x:c r="C4" s="44" t="str">
        <x:v>М2</x:v>
      </x:c>
      <x:c r="D4" s="44" t="str">
        <x:v>М3</x:v>
      </x:c>
      <x:c r="E4" s="44" t="str">
        <x:v>М4</x:v>
      </x:c>
      <x:c r="F4" s="44" t="str">
        <x:v>М5</x:v>
      </x:c>
      <x:c r="G4" s="44" t="str">
        <x:v>М6</x:v>
      </x:c>
      <x:c r="H4" s="44" t="str">
        <x:v>М7</x:v>
      </x:c>
      <x:c r="I4" s="44" t="str">
        <x:v>М8</x:v>
      </x:c>
      <x:c r="J4" s="44" t="str">
        <x:v>М9</x:v>
      </x:c>
      <x:c r="K4" s="44" t="str">
        <x:v>М10</x:v>
      </x:c>
      <x:c r="L4" s="44" t="str">
        <x:v>М11</x:v>
      </x:c>
      <x:c r="M4" s="44" t="str">
        <x:v>М12</x:v>
      </x:c>
    </x:row>
    <x:row r="5">
      <x:c r="A5" s="45" t="str">
        <x:v>MRR</x:v>
      </x:c>
      <x:c r="B5" s="54" t="n">
        <x:f>'MRR'!B9</x:f>
        <x:v>397.203534</x:v>
      </x:c>
      <x:c r="C5" s="54" t="n">
        <x:f>'MRR'!C9</x:f>
        <x:v>993.0088350000001</x:v>
      </x:c>
      <x:c r="D5" s="54" t="n">
        <x:f>'MRR'!D9</x:f>
        <x:v>2780.424738</x:v>
      </x:c>
      <x:c r="E5" s="54" t="n">
        <x:f>'MRR'!E9</x:f>
        <x:v>6255.955660500002</x:v>
      </x:c>
      <x:c r="F5" s="54" t="n">
        <x:f>'MRR'!F9</x:f>
        <x:v>13504.920156000002</x:v>
      </x:c>
      <x:c r="G5" s="54" t="n">
        <x:f>'MRR'!G9</x:f>
        <x:v>27208.442079000004</x:v>
      </x:c>
      <x:c r="H5" s="54" t="n">
        <x:f>'MRR'!H9</x:f>
        <x:v>49749.742633500005</x:v>
      </x:c>
      <x:c r="I5" s="54" t="n">
        <x:f>'MRR'!I9</x:f>
        <x:v>87086.8748295</x:v>
      </x:c>
      <x:c r="J5" s="54" t="n">
        <x:f>'MRR'!J9</x:f>
        <x:v>140808.652803</x:v>
      </x:c>
      <x:c r="K5" s="54" t="n">
        <x:f>'MRR'!K9</x:f>
        <x:v>219256.35076799997</x:v>
      </x:c>
      <x:c r="L5" s="54" t="n">
        <x:f>'MRR'!L9</x:f>
        <x:v>322132.06607400003</x:v>
      </x:c>
      <x:c r="M5" s="54" t="n">
        <x:f>'MRR'!M9</x:f>
        <x:v>450627.409323</x:v>
      </x:c>
    </x:row>
    <x:row r="6">
      <x:c r="A6" s="45" t="str">
        <x:v>ARR run-rate</x:v>
      </x:c>
      <x:c r="B6" s="54" t="n">
        <x:f>B5*12</x:f>
        <x:v>4766.442408</x:v>
      </x:c>
      <x:c r="C6" s="54" t="n">
        <x:f>C5*12</x:f>
        <x:v>11916.106020000001</x:v>
      </x:c>
      <x:c r="D6" s="54" t="n">
        <x:f>D5*12</x:f>
        <x:v>33365.096856000004</x:v>
      </x:c>
      <x:c r="E6" s="54" t="n">
        <x:f>E5*12</x:f>
        <x:v>75071.46792600001</x:v>
      </x:c>
      <x:c r="F6" s="54" t="n">
        <x:f>F5*12</x:f>
        <x:v>162059.04187200003</x:v>
      </x:c>
      <x:c r="G6" s="54" t="n">
        <x:f>G5*12</x:f>
        <x:v>326501.30494800006</x:v>
      </x:c>
      <x:c r="H6" s="54" t="n">
        <x:f>H5*12</x:f>
        <x:v>596996.911602</x:v>
      </x:c>
      <x:c r="I6" s="54" t="n">
        <x:f>I5*12</x:f>
        <x:v>1045042.497954</x:v>
      </x:c>
      <x:c r="J6" s="54" t="n">
        <x:f>J5*12</x:f>
        <x:v>1689703.833636</x:v>
      </x:c>
      <x:c r="K6" s="54" t="n">
        <x:f>K5*12</x:f>
        <x:v>2631076.2092159996</x:v>
      </x:c>
      <x:c r="L6" s="54" t="n">
        <x:f>L5*12</x:f>
        <x:v>3865584.7928880006</x:v>
      </x:c>
      <x:c r="M6" s="54" t="n">
        <x:f>M5*12</x:f>
        <x:v>5407528.911876</x:v>
      </x:c>
    </x:row>
    <x:row r="7">
      <x:c r="A7" s="45" t="str">
        <x:v>ARR Growth</x:v>
      </x:c>
      <x:c r="B7" s="63" t="n">
        <x:f>0</x:f>
        <x:v>0</x:v>
      </x:c>
      <x:c r="C7" s="63" t="n">
        <x:f>IFERROR((C6-B6)/B6,0)</x:f>
        <x:v>1.5000000000000002</x:v>
      </x:c>
      <x:c r="D7" s="63" t="n">
        <x:f>IFERROR((D6-C6)/C6,0)</x:f>
        <x:v>1.8000000000000003</x:v>
      </x:c>
      <x:c r="E7" s="63" t="n">
        <x:f>IFERROR((E6-D6)/D6,0)</x:f>
        <x:v>1.25</x:v>
      </x:c>
      <x:c r="F7" s="63" t="n">
        <x:f>IFERROR((F6-E6)/E6,0)</x:f>
        <x:v>1.1587301587301588</x:v>
      </x:c>
      <x:c r="G7" s="63" t="n">
        <x:f>IFERROR((G6-F6)/F6,0)</x:f>
        <x:v>1.0147058823529411</x:v>
      </x:c>
      <x:c r="H7" s="63" t="n">
        <x:f>IFERROR((H6-G6)/G6,0)</x:f>
        <x:v>0.8284671532846712</x:v>
      </x:c>
      <x:c r="I7" s="63" t="n">
        <x:f>IFERROR((I6-H6)/H6,0)</x:f>
        <x:v>0.7504990019960079</x:v>
      </x:c>
      <x:c r="J7" s="63" t="n">
        <x:f>IFERROR((J6-I6)/I6,0)</x:f>
        <x:v>0.6168757126567845</x:v>
      </x:c>
      <x:c r="K7" s="63" t="n">
        <x:f>IFERROR((K6-J6)/J6,0)</x:f>
        <x:v>0.5571227080394919</x:v>
      </x:c>
      <x:c r="L7" s="63" t="n">
        <x:f>IFERROR((L6-K6)/K6,0)</x:f>
        <x:v>0.4692028985507251</x:v>
      </x:c>
      <x:c r="M7" s="63" t="n">
        <x:f>IFERROR((M6-L6)/L6,0)</x:f>
        <x:v>0.3988902589395807</x:v>
      </x:c>
    </x:row>
    <x:row r="8">
      <x:c r="A8" s="45" t="str">
        <x:v>Cumulative Revenue 12m</x:v>
      </x:c>
      <x:c r="B8" s="54" t="n">
        <x:f>'Доходы'!B18</x:f>
        <x:v>397.203534</x:v>
      </x:c>
      <x:c r="C8" s="54" t="n">
        <x:f>'Доходы'!C18</x:f>
        <x:v>1390.212369</x:v>
      </x:c>
      <x:c r="D8" s="54" t="n">
        <x:f>'Доходы'!D18</x:f>
        <x:v>4170.6371070000005</x:v>
      </x:c>
      <x:c r="E8" s="54" t="n">
        <x:f>'Доходы'!E18</x:f>
        <x:v>10426.592767500002</x:v>
      </x:c>
      <x:c r="F8" s="54" t="n">
        <x:f>'Доходы'!F18</x:f>
        <x:v>23931.512923500006</x:v>
      </x:c>
      <x:c r="G8" s="54" t="n">
        <x:f>'Доходы'!G18</x:f>
        <x:v>51139.955002500006</x:v>
      </x:c>
      <x:c r="H8" s="54" t="n">
        <x:f>'Доходы'!H18</x:f>
        <x:v>100889.69763600001</x:v>
      </x:c>
      <x:c r="I8" s="54" t="n">
        <x:f>'Доходы'!I18</x:f>
        <x:v>187976.5724655</x:v>
      </x:c>
      <x:c r="J8" s="54" t="n">
        <x:f>'Доходы'!J18</x:f>
        <x:v>328785.22526850004</x:v>
      </x:c>
      <x:c r="K8" s="54" t="n">
        <x:f>'Доходы'!K18</x:f>
        <x:v>548041.5760365</x:v>
      </x:c>
      <x:c r="L8" s="54" t="n">
        <x:f>'Доходы'!L18</x:f>
        <x:v>870173.6421105</x:v>
      </x:c>
      <x:c r="M8" s="54" t="n">
        <x:f>'Доходы'!M18</x:f>
        <x:v>1320801.0514335</x:v>
      </x:c>
    </x:row>
    <x:row r="9">
      <x:c r="A9" s="45" t="str">
        <x:v>Ending Paying Clients</x:v>
      </x:c>
      <x:c r="B9" s="62" t="n">
        <x:f>'Конверсии по тарифам'!B25</x:f>
        <x:v>3</x:v>
      </x:c>
      <x:c r="C9" s="62" t="n">
        <x:f>'Конверсии по тарифам'!C25</x:f>
        <x:v>8</x:v>
      </x:c>
      <x:c r="D9" s="62" t="n">
        <x:f>'Конверсии по тарифам'!D25</x:f>
        <x:v>22</x:v>
      </x:c>
      <x:c r="E9" s="62" t="n">
        <x:f>'Конверсии по тарифам'!E25</x:f>
        <x:v>47</x:v>
      </x:c>
      <x:c r="F9" s="62" t="n">
        <x:f>'Конверсии по тарифам'!F25</x:f>
        <x:v>98</x:v>
      </x:c>
      <x:c r="G9" s="62" t="n">
        <x:f>'Конверсии по тарифам'!G25</x:f>
        <x:v>195</x:v>
      </x:c>
      <x:c r="H9" s="62" t="n">
        <x:f>'Конверсии по тарифам'!H25</x:f>
        <x:v>353</x:v>
      </x:c>
      <x:c r="I9" s="62" t="n">
        <x:f>'Конверсии по тарифам'!I25</x:f>
        <x:v>613</x:v>
      </x:c>
      <x:c r="J9" s="62" t="n">
        <x:f>'Конверсии по тарифам'!J25</x:f>
        <x:v>981</x:v>
      </x:c>
      <x:c r="K9" s="62" t="n">
        <x:f>'Конверсии по тарифам'!K25</x:f>
        <x:v>1510</x:v>
      </x:c>
      <x:c r="L9" s="62" t="n">
        <x:f>'Конверсии по тарифам'!L25</x:f>
        <x:v>2185</x:v>
      </x:c>
      <x:c r="M9" s="62" t="n">
        <x:f>'Конверсии по тарифам'!M25</x:f>
        <x:v>3013</x:v>
      </x:c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</x:row>
    <x:row r="11">
      <x:c r="A11" s="42"/>
      <x:c r="B11" s="42"/>
      <x:c r="C11" s="42"/>
      <x:c r="D11" s="42"/>
      <x:c r="E11" s="42"/>
      <x:c r="F11" s="42"/>
      <x:c r="G11" s="42"/>
      <x:c r="H11" s="42"/>
      <x:c r="I11" s="42"/>
      <x:c r="J11" s="42"/>
      <x:c r="K11" s="42"/>
      <x:c r="L11" s="42"/>
      <x:c r="M11" s="42"/>
    </x:row>
    <x:row r="12">
      <x:c r="A12" s="42"/>
      <x:c r="B12" s="42"/>
      <x:c r="C12" s="42"/>
      <x:c r="D12" s="42"/>
      <x:c r="E12" s="42"/>
      <x:c r="F12" s="42"/>
      <x:c r="G12" s="42"/>
      <x:c r="H12" s="42"/>
      <x:c r="I12" s="42"/>
      <x:c r="J12" s="42"/>
      <x:c r="K12" s="42"/>
      <x:c r="L12" s="42"/>
      <x:c r="M12" s="42"/>
    </x:row>
    <x:row r="13">
      <x:c r="A13" s="42"/>
      <x:c r="B13" s="42"/>
      <x:c r="C13" s="42"/>
      <x:c r="D13" s="42"/>
      <x:c r="E13" s="42"/>
      <x:c r="F13" s="42"/>
      <x:c r="G13" s="42"/>
      <x:c r="H13" s="42"/>
      <x:c r="I13" s="42"/>
      <x:c r="J13" s="42"/>
      <x:c r="K13" s="42"/>
      <x:c r="L13" s="42"/>
      <x:c r="M13" s="42"/>
    </x:row>
    <x:row r="14">
      <x:c r="A14" s="42"/>
      <x:c r="B14" s="42"/>
      <x:c r="C14" s="42"/>
      <x:c r="D14" s="42"/>
      <x:c r="E14" s="42"/>
      <x:c r="F14" s="42"/>
      <x:c r="G14" s="42"/>
      <x:c r="H14" s="42"/>
      <x:c r="I14" s="42"/>
      <x:c r="J14" s="42"/>
      <x:c r="K14" s="42"/>
      <x:c r="L14" s="42"/>
      <x:c r="M14" s="42"/>
    </x:row>
    <x:row r="15">
      <x:c r="A15" s="42"/>
      <x:c r="B15" s="42"/>
      <x:c r="C15" s="42"/>
      <x:c r="D15" s="42"/>
      <x:c r="E15" s="42"/>
      <x:c r="F15" s="42"/>
      <x:c r="G15" s="42"/>
      <x:c r="H15" s="42"/>
      <x:c r="I15" s="42"/>
      <x:c r="J15" s="42"/>
      <x:c r="K15" s="42"/>
      <x:c r="L15" s="42"/>
      <x:c r="M15" s="42"/>
    </x:row>
    <x:row r="16">
      <x:c r="A16" s="42"/>
      <x:c r="B16" s="42"/>
      <x:c r="C16" s="42"/>
      <x:c r="D16" s="42"/>
      <x:c r="E16" s="42"/>
      <x:c r="F16" s="42"/>
      <x:c r="G16" s="42"/>
      <x:c r="H16" s="42"/>
      <x:c r="I16" s="42"/>
      <x:c r="J16" s="42"/>
      <x:c r="K16" s="42"/>
      <x:c r="L16" s="42"/>
      <x:c r="M16" s="42"/>
    </x:row>
    <x:row r="17">
      <x:c r="A17" s="42"/>
      <x:c r="B17" s="42"/>
      <x:c r="C17" s="42"/>
      <x:c r="D17" s="42"/>
      <x:c r="E17" s="42"/>
      <x:c r="F17" s="42"/>
      <x:c r="G17" s="42"/>
      <x:c r="H17" s="42"/>
      <x:c r="I17" s="42"/>
      <x:c r="J17" s="42"/>
      <x:c r="K17" s="42"/>
      <x:c r="L17" s="42"/>
      <x:c r="M17" s="42"/>
    </x:row>
    <x:row r="18">
      <x:c r="A18" s="42"/>
      <x:c r="B18" s="42"/>
      <x:c r="C18" s="42"/>
      <x:c r="D18" s="42"/>
      <x:c r="E18" s="42"/>
      <x:c r="F18" s="42"/>
      <x:c r="G18" s="42"/>
      <x:c r="H18" s="42"/>
      <x:c r="I18" s="42"/>
      <x:c r="J18" s="42"/>
      <x:c r="K18" s="42"/>
      <x:c r="L18" s="42"/>
      <x:c r="M18" s="42"/>
    </x:row>
    <x:row r="19">
      <x:c r="A19" s="42"/>
      <x:c r="B19" s="42"/>
      <x:c r="C19" s="42"/>
      <x:c r="D19" s="42"/>
      <x:c r="E19" s="42"/>
      <x:c r="F19" s="42"/>
      <x:c r="G19" s="42"/>
      <x:c r="H19" s="42"/>
      <x:c r="I19" s="42"/>
      <x:c r="J19" s="42"/>
      <x:c r="K19" s="42"/>
      <x:c r="L19" s="42"/>
      <x:c r="M19" s="42"/>
    </x:row>
    <x:row r="20">
      <x:c r="A20" s="42"/>
      <x:c r="B20" s="42"/>
      <x:c r="C20" s="42"/>
      <x:c r="D20" s="42"/>
      <x:c r="E20" s="42"/>
      <x:c r="F20" s="42"/>
      <x:c r="G20" s="42"/>
      <x:c r="H20" s="42"/>
      <x:c r="I20" s="42"/>
      <x:c r="J20" s="42"/>
      <x:c r="K20" s="42"/>
      <x:c r="L20" s="42"/>
      <x:c r="M20" s="42"/>
    </x:row>
    <x:row r="21">
      <x:c r="A21" s="42"/>
      <x:c r="B21" s="42"/>
      <x:c r="C21" s="42"/>
      <x:c r="D21" s="42"/>
      <x:c r="E21" s="42"/>
      <x:c r="F21" s="42"/>
      <x:c r="G21" s="42"/>
      <x:c r="H21" s="42"/>
      <x:c r="I21" s="42"/>
      <x:c r="J21" s="42"/>
      <x:c r="K21" s="42"/>
      <x:c r="L21" s="42"/>
      <x:c r="M21" s="42"/>
    </x:row>
    <x:row r="22">
      <x:c r="A22" s="42"/>
      <x:c r="B22" s="42"/>
      <x:c r="C22" s="42"/>
      <x:c r="D22" s="42"/>
      <x:c r="E22" s="42"/>
      <x:c r="F22" s="42"/>
      <x:c r="G22" s="42"/>
      <x:c r="H22" s="42"/>
      <x:c r="I22" s="42"/>
      <x:c r="J22" s="42"/>
      <x:c r="K22" s="42"/>
      <x:c r="L22" s="42"/>
      <x:c r="M22" s="42"/>
    </x:row>
    <x:row r="23">
      <x:c r="A23" s="42"/>
      <x:c r="B23" s="42"/>
      <x:c r="C23" s="42"/>
      <x:c r="D23" s="42"/>
      <x:c r="E23" s="42"/>
      <x:c r="F23" s="42"/>
      <x:c r="G23" s="42"/>
      <x:c r="H23" s="42"/>
      <x:c r="I23" s="42"/>
      <x:c r="J23" s="42"/>
      <x:c r="K23" s="42"/>
      <x:c r="L23" s="42"/>
      <x:c r="M23" s="42"/>
    </x:row>
    <x:row r="24">
      <x:c r="A24" s="42"/>
      <x:c r="B24" s="42"/>
      <x:c r="C24" s="42"/>
      <x:c r="D24" s="42"/>
      <x:c r="E24" s="42"/>
      <x:c r="F24" s="42"/>
      <x:c r="G24" s="42"/>
      <x:c r="H24" s="42"/>
      <x:c r="I24" s="42"/>
      <x:c r="J24" s="42"/>
      <x:c r="K24" s="42"/>
      <x:c r="L24" s="42"/>
      <x:c r="M24" s="42"/>
    </x:row>
    <x:row r="25">
      <x:c r="A25" s="42"/>
      <x:c r="B25" s="42"/>
      <x:c r="C25" s="42"/>
      <x:c r="D25" s="42"/>
      <x:c r="E25" s="42"/>
      <x:c r="F25" s="42"/>
      <x:c r="G25" s="42"/>
      <x:c r="H25" s="42"/>
      <x:c r="I25" s="42"/>
      <x:c r="J25" s="42"/>
      <x:c r="K25" s="42"/>
      <x:c r="L25" s="42"/>
      <x:c r="M25" s="42"/>
    </x:row>
    <x:row r="26">
      <x:c r="A26" s="42"/>
      <x:c r="B26" s="42"/>
      <x:c r="C26" s="42"/>
      <x:c r="D26" s="42"/>
      <x:c r="E26" s="42"/>
      <x:c r="F26" s="42"/>
      <x:c r="G26" s="42"/>
      <x:c r="H26" s="42"/>
      <x:c r="I26" s="42"/>
      <x:c r="J26" s="42"/>
      <x:c r="K26" s="42"/>
      <x:c r="L26" s="42"/>
      <x:c r="M26" s="42"/>
    </x:row>
    <x:row r="27">
      <x:c r="A27" s="42"/>
      <x:c r="B27" s="42"/>
      <x:c r="C27" s="42"/>
      <x:c r="D27" s="42"/>
      <x:c r="E27" s="42"/>
      <x:c r="F27" s="42"/>
      <x:c r="G27" s="42"/>
      <x:c r="H27" s="42"/>
      <x:c r="I27" s="42"/>
      <x:c r="J27" s="42"/>
      <x:c r="K27" s="42"/>
      <x:c r="L27" s="42"/>
      <x:c r="M27" s="42"/>
    </x:row>
    <x:row r="28">
      <x:c r="A28" s="42"/>
      <x:c r="B28" s="42"/>
      <x:c r="C28" s="42"/>
      <x:c r="D28" s="42"/>
      <x:c r="E28" s="42"/>
      <x:c r="F28" s="42"/>
      <x:c r="G28" s="42"/>
      <x:c r="H28" s="42"/>
      <x:c r="I28" s="42"/>
      <x:c r="J28" s="42"/>
      <x:c r="K28" s="42"/>
      <x:c r="L28" s="42"/>
      <x:c r="M28" s="42"/>
    </x:row>
    <x:row r="29">
      <x:c r="A29" s="42"/>
      <x:c r="B29" s="42"/>
      <x:c r="C29" s="42"/>
      <x:c r="D29" s="42"/>
      <x:c r="E29" s="42"/>
      <x:c r="F29" s="42"/>
      <x:c r="G29" s="42"/>
      <x:c r="H29" s="42"/>
      <x:c r="I29" s="42"/>
      <x:c r="J29" s="42"/>
      <x:c r="K29" s="42"/>
      <x:c r="L29" s="42"/>
      <x:c r="M29" s="42"/>
    </x:row>
    <x:row r="30">
      <x:c r="A30" s="42"/>
      <x:c r="B30" s="42"/>
      <x:c r="C30" s="42"/>
      <x:c r="D30" s="42"/>
      <x:c r="E30" s="42"/>
      <x:c r="F30" s="42"/>
      <x:c r="G30" s="42"/>
      <x:c r="H30" s="42"/>
      <x:c r="I30" s="42"/>
      <x:c r="J30" s="42"/>
      <x:c r="K30" s="42"/>
      <x:c r="L30" s="42"/>
      <x:c r="M30" s="42"/>
    </x:row>
    <x:row r="31">
      <x:c r="A31" s="42"/>
      <x:c r="B31" s="42"/>
      <x:c r="C31" s="42"/>
      <x:c r="D31" s="42"/>
      <x:c r="E31" s="42"/>
      <x:c r="F31" s="42"/>
      <x:c r="G31" s="42"/>
      <x:c r="H31" s="42"/>
      <x:c r="I31" s="42"/>
      <x:c r="J31" s="42"/>
      <x:c r="K31" s="42"/>
      <x:c r="L31" s="42"/>
      <x:c r="M31" s="42"/>
    </x:row>
    <x:row r="32">
      <x:c r="A32" s="42"/>
      <x:c r="B32" s="42"/>
      <x:c r="C32" s="42"/>
      <x:c r="D32" s="42"/>
      <x:c r="E32" s="42"/>
      <x:c r="F32" s="42"/>
      <x:c r="G32" s="42"/>
      <x:c r="H32" s="42"/>
      <x:c r="I32" s="42"/>
      <x:c r="J32" s="42"/>
      <x:c r="K32" s="42"/>
      <x:c r="L32" s="42"/>
      <x:c r="M32" s="42"/>
    </x:row>
    <x:row r="33">
      <x:c r="A33" s="42"/>
      <x:c r="B33" s="42"/>
      <x:c r="C33" s="42"/>
      <x:c r="D33" s="42"/>
      <x:c r="E33" s="42"/>
      <x:c r="F33" s="42"/>
      <x:c r="G33" s="42"/>
      <x:c r="H33" s="42"/>
      <x:c r="I33" s="42"/>
      <x:c r="J33" s="42"/>
      <x:c r="K33" s="42"/>
      <x:c r="L33" s="42"/>
      <x:c r="M33" s="42"/>
    </x:row>
    <x:row r="34">
      <x:c r="A34" s="42"/>
      <x:c r="B34" s="42"/>
      <x:c r="C34" s="42"/>
      <x:c r="D34" s="42"/>
      <x:c r="E34" s="42"/>
      <x:c r="F34" s="42"/>
      <x:c r="G34" s="42"/>
      <x:c r="H34" s="42"/>
      <x:c r="I34" s="42"/>
      <x:c r="J34" s="42"/>
      <x:c r="K34" s="42"/>
      <x:c r="L34" s="42"/>
      <x:c r="M34" s="42"/>
    </x:row>
    <x:row r="35">
      <x:c r="A35" s="42"/>
      <x:c r="B35" s="42"/>
      <x:c r="C35" s="42"/>
      <x:c r="D35" s="42"/>
      <x:c r="E35" s="42"/>
      <x:c r="F35" s="42"/>
      <x:c r="G35" s="42"/>
      <x:c r="H35" s="42"/>
      <x:c r="I35" s="42"/>
      <x:c r="J35" s="42"/>
      <x:c r="K35" s="42"/>
      <x:c r="L35" s="42"/>
      <x:c r="M35" s="42"/>
    </x:row>
    <x:row r="36">
      <x:c r="A36" s="42"/>
      <x:c r="B36" s="42"/>
      <x:c r="C36" s="42"/>
      <x:c r="D36" s="42"/>
      <x:c r="E36" s="42"/>
      <x:c r="F36" s="42"/>
      <x:c r="G36" s="42"/>
      <x:c r="H36" s="42"/>
      <x:c r="I36" s="42"/>
      <x:c r="J36" s="42"/>
      <x:c r="K36" s="42"/>
      <x:c r="L36" s="42"/>
      <x:c r="M36" s="42"/>
    </x:row>
    <x:row r="37">
      <x:c r="A37" s="42"/>
      <x:c r="B37" s="42"/>
      <x:c r="C37" s="42"/>
      <x:c r="D37" s="42"/>
      <x:c r="E37" s="42"/>
      <x:c r="F37" s="42"/>
      <x:c r="G37" s="42"/>
      <x:c r="H37" s="42"/>
      <x:c r="I37" s="42"/>
      <x:c r="J37" s="42"/>
      <x:c r="K37" s="42"/>
      <x:c r="L37" s="42"/>
      <x:c r="M37" s="42"/>
    </x:row>
    <x:row r="38">
      <x:c r="A38" s="42"/>
      <x:c r="B38" s="42"/>
      <x:c r="C38" s="42"/>
      <x:c r="D38" s="42"/>
      <x:c r="E38" s="42"/>
      <x:c r="F38" s="42"/>
      <x:c r="G38" s="42"/>
      <x:c r="H38" s="42"/>
      <x:c r="I38" s="42"/>
      <x:c r="J38" s="42"/>
      <x:c r="K38" s="42"/>
      <x:c r="L38" s="42"/>
      <x:c r="M38" s="42"/>
    </x:row>
    <x:row r="39">
      <x:c r="A39" s="42"/>
      <x:c r="B39" s="42"/>
      <x:c r="C39" s="42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</x:row>
    <x:row r="40">
      <x:c r="A40" s="42"/>
      <x:c r="B40" s="42"/>
      <x:c r="C40" s="42"/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</x:row>
    <x:row r="41">
      <x:c r="A41" s="42"/>
      <x:c r="B41" s="42"/>
      <x:c r="C41" s="42"/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</x:row>
    <x:row r="42">
      <x:c r="A42" s="42"/>
      <x:c r="B42" s="42"/>
      <x:c r="C42" s="42"/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</x:row>
    <x:row r="43">
      <x:c r="A43" s="42"/>
      <x:c r="B43" s="42"/>
      <x:c r="C43" s="42"/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</x:row>
    <x:row r="44">
      <x:c r="A44" s="42"/>
      <x:c r="B44" s="42"/>
      <x:c r="C44" s="42"/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</x:row>
    <x:row r="45">
      <x:c r="A45" s="42"/>
      <x:c r="B45" s="42"/>
      <x:c r="C45" s="42"/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</x:row>
    <x:row r="46">
      <x:c r="A46" s="42"/>
      <x:c r="B46" s="42"/>
      <x:c r="C46" s="42"/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</x:row>
    <x:row r="47">
      <x:c r="A47" s="42"/>
      <x:c r="B47" s="42"/>
      <x:c r="C47" s="42"/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</x:row>
    <x:row r="48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</x:row>
    <x:row r="49">
      <x:c r="A49" s="42"/>
      <x:c r="B49" s="42"/>
      <x:c r="C49" s="42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</x:row>
    <x:row r="50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</x:row>
    <x:row r="51">
      <x:c r="A51" s="42"/>
      <x:c r="B51" s="42"/>
      <x:c r="C51" s="42"/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</x:row>
    <x:row r="52">
      <x:c r="A52" s="42"/>
      <x:c r="B52" s="42"/>
      <x:c r="C52" s="42"/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</x:row>
    <x:row r="53">
      <x:c r="A53" s="42"/>
      <x:c r="B53" s="42"/>
      <x:c r="C53" s="42"/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</x:row>
    <x:row r="54">
      <x:c r="A54" s="42"/>
      <x:c r="B54" s="42"/>
      <x:c r="C54" s="42"/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</x:row>
    <x:row r="55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</x:row>
    <x:row r="56">
      <x:c r="A56" s="42"/>
      <x:c r="B56" s="42"/>
      <x:c r="C56" s="42"/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</x:row>
    <x:row r="57">
      <x:c r="A57" s="42"/>
      <x:c r="B57" s="42"/>
      <x:c r="C57" s="42"/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</x:row>
    <x:row r="58">
      <x:c r="A58" s="42"/>
      <x:c r="B58" s="42"/>
      <x:c r="C58" s="42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</x:row>
    <x:row r="59">
      <x:c r="A59" s="42"/>
      <x:c r="B59" s="42"/>
      <x:c r="C59" s="42"/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</x:row>
    <x:row r="60">
      <x:c r="A60" s="42"/>
      <x:c r="B60" s="42"/>
      <x:c r="C60" s="42"/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</x:row>
    <x:row r="61">
      <x:c r="A61" s="42"/>
      <x:c r="B61" s="42"/>
      <x:c r="C61" s="42"/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</x:row>
    <x:row r="62">
      <x:c r="A62" s="42"/>
      <x:c r="B62" s="42"/>
      <x:c r="C62" s="42"/>
      <x:c r="D62" s="42"/>
      <x:c r="E62" s="42"/>
      <x:c r="F62" s="42"/>
      <x:c r="G62" s="42"/>
      <x:c r="H62" s="42"/>
      <x:c r="I62" s="42"/>
      <x:c r="J62" s="42"/>
      <x:c r="K62" s="42"/>
      <x:c r="L62" s="42"/>
      <x:c r="M62" s="42"/>
    </x:row>
    <x:row r="63">
      <x:c r="A63" s="42"/>
      <x:c r="B63" s="42"/>
      <x:c r="C63" s="42"/>
      <x:c r="D63" s="42"/>
      <x:c r="E63" s="42"/>
      <x:c r="F63" s="42"/>
      <x:c r="G63" s="42"/>
      <x:c r="H63" s="42"/>
      <x:c r="I63" s="42"/>
      <x:c r="J63" s="42"/>
      <x:c r="K63" s="42"/>
      <x:c r="L63" s="42"/>
      <x:c r="M63" s="42"/>
    </x:row>
    <x:row r="64">
      <x:c r="A64" s="42"/>
      <x:c r="B64" s="42"/>
      <x:c r="C64" s="42"/>
      <x:c r="D64" s="42"/>
      <x:c r="E64" s="42"/>
      <x:c r="F64" s="42"/>
      <x:c r="G64" s="42"/>
      <x:c r="H64" s="42"/>
      <x:c r="I64" s="42"/>
      <x:c r="J64" s="42"/>
      <x:c r="K64" s="42"/>
      <x:c r="L64" s="42"/>
      <x:c r="M64" s="42"/>
    </x:row>
    <x:row r="65">
      <x:c r="A65" s="42"/>
      <x:c r="B65" s="42"/>
      <x:c r="C65" s="42"/>
      <x:c r="D65" s="42"/>
      <x:c r="E65" s="42"/>
      <x:c r="F65" s="42"/>
      <x:c r="G65" s="42"/>
      <x:c r="H65" s="42"/>
      <x:c r="I65" s="42"/>
      <x:c r="J65" s="42"/>
      <x:c r="K65" s="42"/>
      <x:c r="L65" s="42"/>
      <x:c r="M65" s="42"/>
    </x:row>
    <x:row r="66">
      <x:c r="A66" s="42"/>
      <x:c r="B66" s="42"/>
      <x:c r="C66" s="42"/>
      <x:c r="D66" s="42"/>
      <x:c r="E66" s="42"/>
      <x:c r="F66" s="42"/>
      <x:c r="G66" s="42"/>
      <x:c r="H66" s="42"/>
      <x:c r="I66" s="42"/>
      <x:c r="J66" s="42"/>
      <x:c r="K66" s="42"/>
      <x:c r="L66" s="42"/>
      <x:c r="M66" s="42"/>
    </x:row>
    <x:row r="67">
      <x:c r="A67" s="42"/>
      <x:c r="B67" s="42"/>
      <x:c r="C67" s="42"/>
      <x:c r="D67" s="42"/>
      <x:c r="E67" s="42"/>
      <x:c r="F67" s="42"/>
      <x:c r="G67" s="42"/>
      <x:c r="H67" s="42"/>
      <x:c r="I67" s="42"/>
      <x:c r="J67" s="42"/>
      <x:c r="K67" s="42"/>
      <x:c r="L67" s="42"/>
      <x:c r="M67" s="42"/>
    </x:row>
    <x:row r="68">
      <x:c r="A68" s="42"/>
      <x:c r="B68" s="42"/>
      <x:c r="C68" s="42"/>
      <x:c r="D68" s="42"/>
      <x:c r="E68" s="42"/>
      <x:c r="F68" s="42"/>
      <x:c r="G68" s="42"/>
      <x:c r="H68" s="42"/>
      <x:c r="I68" s="42"/>
      <x:c r="J68" s="42"/>
      <x:c r="K68" s="42"/>
      <x:c r="L68" s="42"/>
      <x:c r="M68" s="42"/>
    </x:row>
    <x:row r="69">
      <x:c r="A69" s="42"/>
      <x:c r="B69" s="42"/>
      <x:c r="C69" s="42"/>
      <x:c r="D69" s="42"/>
      <x:c r="E69" s="42"/>
      <x:c r="F69" s="42"/>
      <x:c r="G69" s="42"/>
      <x:c r="H69" s="42"/>
      <x:c r="I69" s="42"/>
      <x:c r="J69" s="42"/>
      <x:c r="K69" s="42"/>
      <x:c r="L69" s="42"/>
      <x:c r="M69" s="42"/>
    </x:row>
    <x:row r="70">
      <x:c r="A70" s="42"/>
      <x:c r="B70" s="42"/>
      <x:c r="C70" s="42"/>
      <x:c r="D70" s="42"/>
      <x:c r="E70" s="42"/>
      <x:c r="F70" s="42"/>
      <x:c r="G70" s="42"/>
      <x:c r="H70" s="42"/>
      <x:c r="I70" s="42"/>
      <x:c r="J70" s="42"/>
      <x:c r="K70" s="42"/>
      <x:c r="L70" s="42"/>
      <x:c r="M70" s="42"/>
    </x:row>
    <x:row r="71">
      <x:c r="A71" s="42"/>
      <x:c r="B71" s="42"/>
      <x:c r="C71" s="42"/>
      <x:c r="D71" s="42"/>
      <x:c r="E71" s="42"/>
      <x:c r="F71" s="42"/>
      <x:c r="G71" s="42"/>
      <x:c r="H71" s="42"/>
      <x:c r="I71" s="42"/>
      <x:c r="J71" s="42"/>
      <x:c r="K71" s="42"/>
      <x:c r="L71" s="42"/>
      <x:c r="M71" s="42"/>
    </x:row>
    <x:row r="72">
      <x:c r="A72" s="42"/>
      <x:c r="B72" s="42"/>
      <x:c r="C72" s="42"/>
      <x:c r="D72" s="42"/>
      <x:c r="E72" s="42"/>
      <x:c r="F72" s="42"/>
      <x:c r="G72" s="42"/>
      <x:c r="H72" s="42"/>
      <x:c r="I72" s="42"/>
      <x:c r="J72" s="42"/>
      <x:c r="K72" s="42"/>
      <x:c r="L72" s="42"/>
      <x:c r="M72" s="42"/>
    </x:row>
    <x:row r="73">
      <x:c r="A73" s="42"/>
      <x:c r="B73" s="42"/>
      <x:c r="C73" s="42"/>
      <x:c r="D73" s="42"/>
      <x:c r="E73" s="42"/>
      <x:c r="F73" s="42"/>
      <x:c r="G73" s="42"/>
      <x:c r="H73" s="42"/>
      <x:c r="I73" s="42"/>
      <x:c r="J73" s="42"/>
      <x:c r="K73" s="42"/>
      <x:c r="L73" s="42"/>
      <x:c r="M73" s="42"/>
    </x:row>
    <x:row r="74">
      <x:c r="A74" s="42"/>
      <x:c r="B74" s="42"/>
      <x:c r="C74" s="42"/>
      <x:c r="D74" s="42"/>
      <x:c r="E74" s="42"/>
      <x:c r="F74" s="42"/>
      <x:c r="G74" s="42"/>
      <x:c r="H74" s="42"/>
      <x:c r="I74" s="42"/>
      <x:c r="J74" s="42"/>
      <x:c r="K74" s="42"/>
      <x:c r="L74" s="42"/>
      <x:c r="M74" s="42"/>
    </x:row>
    <x:row r="75">
      <x:c r="A75" s="42"/>
      <x:c r="B75" s="42"/>
      <x:c r="C75" s="42"/>
      <x:c r="D75" s="42"/>
      <x:c r="E75" s="42"/>
      <x:c r="F75" s="42"/>
      <x:c r="G75" s="42"/>
      <x:c r="H75" s="42"/>
      <x:c r="I75" s="42"/>
      <x:c r="J75" s="42"/>
      <x:c r="K75" s="42"/>
      <x:c r="L75" s="42"/>
      <x:c r="M75" s="42"/>
    </x:row>
    <x:row r="76">
      <x:c r="A76" s="42"/>
      <x:c r="B76" s="42"/>
      <x:c r="C76" s="42"/>
      <x:c r="D76" s="42"/>
      <x:c r="E76" s="42"/>
      <x:c r="F76" s="42"/>
      <x:c r="G76" s="42"/>
      <x:c r="H76" s="42"/>
      <x:c r="I76" s="42"/>
      <x:c r="J76" s="42"/>
      <x:c r="K76" s="42"/>
      <x:c r="L76" s="42"/>
      <x:c r="M76" s="42"/>
    </x:row>
    <x:row r="77">
      <x:c r="A77" s="42"/>
      <x:c r="B77" s="42"/>
      <x:c r="C77" s="42"/>
      <x:c r="D77" s="42"/>
      <x:c r="E77" s="42"/>
      <x:c r="F77" s="42"/>
      <x:c r="G77" s="42"/>
      <x:c r="H77" s="42"/>
      <x:c r="I77" s="42"/>
      <x:c r="J77" s="42"/>
      <x:c r="K77" s="42"/>
      <x:c r="L77" s="42"/>
      <x:c r="M77" s="42"/>
    </x:row>
    <x:row r="78">
      <x:c r="A78" s="42"/>
      <x:c r="B78" s="42"/>
      <x:c r="C78" s="42"/>
      <x:c r="D78" s="42"/>
      <x:c r="E78" s="42"/>
      <x:c r="F78" s="42"/>
      <x:c r="G78" s="42"/>
      <x:c r="H78" s="42"/>
      <x:c r="I78" s="42"/>
      <x:c r="J78" s="42"/>
      <x:c r="K78" s="42"/>
      <x:c r="L78" s="42"/>
      <x:c r="M78" s="42"/>
    </x:row>
    <x:row r="79">
      <x:c r="A79" s="42"/>
      <x:c r="B79" s="42"/>
      <x:c r="C79" s="42"/>
      <x:c r="D79" s="42"/>
      <x:c r="E79" s="42"/>
      <x:c r="F79" s="42"/>
      <x:c r="G79" s="42"/>
      <x:c r="H79" s="42"/>
      <x:c r="I79" s="42"/>
      <x:c r="J79" s="42"/>
      <x:c r="K79" s="42"/>
      <x:c r="L79" s="42"/>
      <x:c r="M79" s="42"/>
    </x:row>
    <x:row r="80">
      <x:c r="A80" s="42"/>
      <x:c r="B80" s="42"/>
      <x:c r="C80" s="42"/>
      <x:c r="D80" s="42"/>
      <x:c r="E80" s="42"/>
      <x:c r="F80" s="42"/>
      <x:c r="G80" s="42"/>
      <x:c r="H80" s="42"/>
      <x:c r="I80" s="42"/>
      <x:c r="J80" s="42"/>
      <x:c r="K80" s="42"/>
      <x:c r="L80" s="42"/>
      <x:c r="M80" s="42"/>
    </x:row>
    <x:row r="81">
      <x:c r="A81" s="42"/>
      <x:c r="B81" s="42"/>
      <x:c r="C81" s="42"/>
      <x:c r="D81" s="42"/>
      <x:c r="E81" s="42"/>
      <x:c r="F81" s="42"/>
      <x:c r="G81" s="42"/>
      <x:c r="H81" s="42"/>
      <x:c r="I81" s="42"/>
      <x:c r="J81" s="42"/>
      <x:c r="K81" s="42"/>
      <x:c r="L81" s="42"/>
      <x:c r="M81" s="42"/>
    </x:row>
    <x:row r="82">
      <x:c r="A82" s="42"/>
      <x:c r="B82" s="42"/>
      <x:c r="C82" s="42"/>
      <x:c r="D82" s="42"/>
      <x:c r="E82" s="42"/>
      <x:c r="F82" s="42"/>
      <x:c r="G82" s="42"/>
      <x:c r="H82" s="42"/>
      <x:c r="I82" s="42"/>
      <x:c r="J82" s="42"/>
      <x:c r="K82" s="42"/>
      <x:c r="L82" s="42"/>
      <x:c r="M82" s="42"/>
    </x:row>
    <x:row r="83">
      <x:c r="A83" s="42"/>
      <x:c r="B83" s="42"/>
      <x:c r="C83" s="42"/>
      <x:c r="D83" s="42"/>
      <x:c r="E83" s="42"/>
      <x:c r="F83" s="42"/>
      <x:c r="G83" s="42"/>
      <x:c r="H83" s="42"/>
      <x:c r="I83" s="42"/>
      <x:c r="J83" s="42"/>
      <x:c r="K83" s="42"/>
      <x:c r="L83" s="42"/>
      <x:c r="M83" s="42"/>
    </x:row>
    <x:row r="84">
      <x:c r="A84" s="42"/>
      <x:c r="B84" s="42"/>
      <x:c r="C84" s="42"/>
      <x:c r="D84" s="42"/>
      <x:c r="E84" s="42"/>
      <x:c r="F84" s="42"/>
      <x:c r="G84" s="42"/>
      <x:c r="H84" s="42"/>
      <x:c r="I84" s="42"/>
      <x:c r="J84" s="42"/>
      <x:c r="K84" s="42"/>
      <x:c r="L84" s="42"/>
      <x:c r="M84" s="42"/>
    </x:row>
    <x:row r="85">
      <x:c r="A85" s="42"/>
      <x:c r="B85" s="42"/>
      <x:c r="C85" s="42"/>
      <x:c r="D85" s="42"/>
      <x:c r="E85" s="42"/>
      <x:c r="F85" s="42"/>
      <x:c r="G85" s="42"/>
      <x:c r="H85" s="42"/>
      <x:c r="I85" s="42"/>
      <x:c r="J85" s="42"/>
      <x:c r="K85" s="42"/>
      <x:c r="L85" s="42"/>
      <x:c r="M85" s="42"/>
    </x:row>
    <x:row r="86">
      <x:c r="A86" s="42"/>
      <x:c r="B86" s="42"/>
      <x:c r="C86" s="42"/>
      <x:c r="D86" s="42"/>
      <x:c r="E86" s="42"/>
      <x:c r="F86" s="42"/>
      <x:c r="G86" s="42"/>
      <x:c r="H86" s="42"/>
      <x:c r="I86" s="42"/>
      <x:c r="J86" s="42"/>
      <x:c r="K86" s="42"/>
      <x:c r="L86" s="42"/>
      <x:c r="M86" s="42"/>
    </x:row>
    <x:row r="87">
      <x:c r="A87" s="42"/>
      <x:c r="B87" s="42"/>
      <x:c r="C87" s="42"/>
      <x:c r="D87" s="42"/>
      <x:c r="E87" s="42"/>
      <x:c r="F87" s="42"/>
      <x:c r="G87" s="42"/>
      <x:c r="H87" s="42"/>
      <x:c r="I87" s="42"/>
      <x:c r="J87" s="42"/>
      <x:c r="K87" s="42"/>
      <x:c r="L87" s="42"/>
      <x:c r="M87" s="42"/>
    </x:row>
    <x:row r="88">
      <x:c r="A88" s="42"/>
      <x:c r="B88" s="42"/>
      <x:c r="C88" s="42"/>
      <x:c r="D88" s="42"/>
      <x:c r="E88" s="42"/>
      <x:c r="F88" s="42"/>
      <x:c r="G88" s="42"/>
      <x:c r="H88" s="42"/>
      <x:c r="I88" s="42"/>
      <x:c r="J88" s="42"/>
      <x:c r="K88" s="42"/>
      <x:c r="L88" s="42"/>
      <x:c r="M88" s="42"/>
    </x:row>
    <x:row r="89">
      <x:c r="A89" s="42"/>
      <x:c r="B89" s="42"/>
      <x:c r="C89" s="42"/>
      <x:c r="D89" s="42"/>
      <x:c r="E89" s="42"/>
      <x:c r="F89" s="42"/>
      <x:c r="G89" s="42"/>
      <x:c r="H89" s="42"/>
      <x:c r="I89" s="42"/>
      <x:c r="J89" s="42"/>
      <x:c r="K89" s="42"/>
      <x:c r="L89" s="42"/>
      <x:c r="M89" s="42"/>
    </x:row>
    <x:row r="90">
      <x:c r="A90" s="42"/>
      <x:c r="B90" s="42"/>
      <x:c r="C90" s="42"/>
      <x:c r="D90" s="42"/>
      <x:c r="E90" s="42"/>
      <x:c r="F90" s="42"/>
      <x:c r="G90" s="42"/>
      <x:c r="H90" s="42"/>
      <x:c r="I90" s="42"/>
      <x:c r="J90" s="42"/>
      <x:c r="K90" s="42"/>
      <x:c r="L90" s="42"/>
      <x:c r="M90" s="42"/>
    </x:row>
    <x:row r="91">
      <x:c r="A91" s="42"/>
      <x:c r="B91" s="42"/>
      <x:c r="C91" s="42"/>
      <x:c r="D91" s="42"/>
      <x:c r="E91" s="42"/>
      <x:c r="F91" s="42"/>
      <x:c r="G91" s="42"/>
      <x:c r="H91" s="42"/>
      <x:c r="I91" s="42"/>
      <x:c r="J91" s="42"/>
      <x:c r="K91" s="42"/>
      <x:c r="L91" s="42"/>
      <x:c r="M91" s="42"/>
    </x:row>
    <x:row r="92">
      <x:c r="A92" s="42"/>
      <x:c r="B92" s="42"/>
      <x:c r="C92" s="42"/>
      <x:c r="D92" s="42"/>
      <x:c r="E92" s="42"/>
      <x:c r="F92" s="42"/>
      <x:c r="G92" s="42"/>
      <x:c r="H92" s="42"/>
      <x:c r="I92" s="42"/>
      <x:c r="J92" s="42"/>
      <x:c r="K92" s="42"/>
      <x:c r="L92" s="42"/>
      <x:c r="M92" s="42"/>
    </x:row>
    <x:row r="93">
      <x:c r="A93" s="42"/>
      <x:c r="B93" s="42"/>
      <x:c r="C93" s="42"/>
      <x:c r="D93" s="42"/>
      <x:c r="E93" s="42"/>
      <x:c r="F93" s="42"/>
      <x:c r="G93" s="42"/>
      <x:c r="H93" s="42"/>
      <x:c r="I93" s="42"/>
      <x:c r="J93" s="42"/>
      <x:c r="K93" s="42"/>
      <x:c r="L93" s="42"/>
      <x:c r="M93" s="42"/>
    </x:row>
    <x:row r="94">
      <x:c r="A94" s="42"/>
      <x:c r="B94" s="42"/>
      <x:c r="C94" s="42"/>
      <x:c r="D94" s="42"/>
      <x:c r="E94" s="42"/>
      <x:c r="F94" s="42"/>
      <x:c r="G94" s="42"/>
      <x:c r="H94" s="42"/>
      <x:c r="I94" s="42"/>
      <x:c r="J94" s="42"/>
      <x:c r="K94" s="42"/>
      <x:c r="L94" s="42"/>
      <x:c r="M94" s="42"/>
    </x:row>
    <x:row r="95">
      <x:c r="A95" s="42"/>
      <x:c r="B95" s="42"/>
      <x:c r="C95" s="42"/>
      <x:c r="D95" s="42"/>
      <x:c r="E95" s="42"/>
      <x:c r="F95" s="42"/>
      <x:c r="G95" s="42"/>
      <x:c r="H95" s="42"/>
      <x:c r="I95" s="42"/>
      <x:c r="J95" s="42"/>
      <x:c r="K95" s="42"/>
      <x:c r="L95" s="42"/>
      <x:c r="M95" s="42"/>
    </x:row>
    <x:row r="96">
      <x:c r="A96" s="42"/>
      <x:c r="B96" s="42"/>
      <x:c r="C96" s="42"/>
      <x:c r="D96" s="42"/>
      <x:c r="E96" s="42"/>
      <x:c r="F96" s="42"/>
      <x:c r="G96" s="42"/>
      <x:c r="H96" s="42"/>
      <x:c r="I96" s="42"/>
      <x:c r="J96" s="42"/>
      <x:c r="K96" s="42"/>
      <x:c r="L96" s="42"/>
      <x:c r="M96" s="42"/>
    </x:row>
    <x:row r="97">
      <x:c r="A97" s="42"/>
      <x:c r="B97" s="42"/>
      <x:c r="C97" s="42"/>
      <x:c r="D97" s="42"/>
      <x:c r="E97" s="42"/>
      <x:c r="F97" s="42"/>
      <x:c r="G97" s="42"/>
      <x:c r="H97" s="42"/>
      <x:c r="I97" s="42"/>
      <x:c r="J97" s="42"/>
      <x:c r="K97" s="42"/>
      <x:c r="L97" s="42"/>
      <x:c r="M97" s="42"/>
    </x:row>
    <x:row r="98">
      <x:c r="A98" s="42"/>
      <x:c r="B98" s="42"/>
      <x:c r="C98" s="42"/>
      <x:c r="D98" s="42"/>
      <x:c r="E98" s="42"/>
      <x:c r="F98" s="42"/>
      <x:c r="G98" s="42"/>
      <x:c r="H98" s="42"/>
      <x:c r="I98" s="42"/>
      <x:c r="J98" s="42"/>
      <x:c r="K98" s="42"/>
      <x:c r="L98" s="42"/>
      <x:c r="M98" s="42"/>
    </x:row>
    <x:row r="99">
      <x:c r="A99" s="42"/>
      <x:c r="B99" s="42"/>
      <x:c r="C99" s="42"/>
      <x:c r="D99" s="42"/>
      <x:c r="E99" s="42"/>
      <x:c r="F99" s="42"/>
      <x:c r="G99" s="42"/>
      <x:c r="H99" s="42"/>
      <x:c r="I99" s="42"/>
      <x:c r="J99" s="42"/>
      <x:c r="K99" s="42"/>
      <x:c r="L99" s="42"/>
      <x:c r="M99" s="42"/>
    </x:row>
    <x:row r="100">
      <x:c r="A100" s="42"/>
      <x:c r="B100" s="42"/>
      <x:c r="C100" s="42"/>
      <x:c r="D100" s="42"/>
      <x:c r="E100" s="42"/>
      <x:c r="F100" s="42"/>
      <x:c r="G100" s="42"/>
      <x:c r="H100" s="42"/>
      <x:c r="I100" s="42"/>
      <x:c r="J100" s="42"/>
      <x:c r="K100" s="42"/>
      <x:c r="L100" s="42"/>
      <x:c r="M100" s="42"/>
    </x:row>
    <x:row r="101">
      <x:c r="A101" s="42"/>
      <x:c r="B101" s="42"/>
      <x:c r="C101" s="42"/>
      <x:c r="D101" s="42"/>
      <x:c r="E101" s="42"/>
      <x:c r="F101" s="42"/>
      <x:c r="G101" s="42"/>
      <x:c r="H101" s="42"/>
      <x:c r="I101" s="42"/>
      <x:c r="J101" s="42"/>
      <x:c r="K101" s="42"/>
      <x:c r="L101" s="42"/>
      <x:c r="M101" s="42"/>
    </x:row>
    <x:row r="102">
      <x:c r="A102" s="42"/>
      <x:c r="B102" s="42"/>
      <x:c r="C102" s="42"/>
      <x:c r="D102" s="42"/>
      <x:c r="E102" s="42"/>
      <x:c r="F102" s="42"/>
      <x:c r="G102" s="42"/>
      <x:c r="H102" s="42"/>
      <x:c r="I102" s="42"/>
      <x:c r="J102" s="42"/>
      <x:c r="K102" s="42"/>
      <x:c r="L102" s="42"/>
      <x:c r="M102" s="42"/>
    </x:row>
    <x:row r="103">
      <x:c r="A103" s="42"/>
      <x:c r="B103" s="42"/>
      <x:c r="C103" s="42"/>
      <x:c r="D103" s="42"/>
      <x:c r="E103" s="42"/>
      <x:c r="F103" s="42"/>
      <x:c r="G103" s="42"/>
      <x:c r="H103" s="42"/>
      <x:c r="I103" s="42"/>
      <x:c r="J103" s="42"/>
      <x:c r="K103" s="42"/>
      <x:c r="L103" s="42"/>
      <x:c r="M103" s="42"/>
    </x:row>
    <x:row r="104">
      <x:c r="A104" s="42"/>
      <x:c r="B104" s="42"/>
      <x:c r="C104" s="42"/>
      <x:c r="D104" s="42"/>
      <x:c r="E104" s="42"/>
      <x:c r="F104" s="42"/>
      <x:c r="G104" s="42"/>
      <x:c r="H104" s="42"/>
      <x:c r="I104" s="42"/>
      <x:c r="J104" s="42"/>
      <x:c r="K104" s="42"/>
      <x:c r="L104" s="42"/>
      <x:c r="M104" s="42"/>
    </x:row>
    <x:row r="105">
      <x:c r="A105" s="42"/>
      <x:c r="B105" s="42"/>
      <x:c r="C105" s="42"/>
      <x:c r="D105" s="42"/>
      <x:c r="E105" s="42"/>
      <x:c r="F105" s="42"/>
      <x:c r="G105" s="42"/>
      <x:c r="H105" s="42"/>
      <x:c r="I105" s="42"/>
      <x:c r="J105" s="42"/>
      <x:c r="K105" s="42"/>
      <x:c r="L105" s="42"/>
      <x:c r="M105" s="42"/>
    </x:row>
    <x:row r="106">
      <x:c r="A106" s="42"/>
      <x:c r="B106" s="42"/>
      <x:c r="C106" s="42"/>
      <x:c r="D106" s="42"/>
      <x:c r="E106" s="42"/>
      <x:c r="F106" s="42"/>
      <x:c r="G106" s="42"/>
      <x:c r="H106" s="42"/>
      <x:c r="I106" s="42"/>
      <x:c r="J106" s="42"/>
      <x:c r="K106" s="42"/>
      <x:c r="L106" s="42"/>
      <x:c r="M106" s="42"/>
    </x:row>
    <x:row r="107">
      <x:c r="A107" s="42"/>
      <x:c r="B107" s="42"/>
      <x:c r="C107" s="42"/>
      <x:c r="D107" s="42"/>
      <x:c r="E107" s="42"/>
      <x:c r="F107" s="42"/>
      <x:c r="G107" s="42"/>
      <x:c r="H107" s="42"/>
      <x:c r="I107" s="42"/>
      <x:c r="J107" s="42"/>
      <x:c r="K107" s="42"/>
      <x:c r="L107" s="42"/>
      <x:c r="M107" s="42"/>
    </x:row>
    <x:row r="108">
      <x:c r="A108" s="42"/>
      <x:c r="B108" s="42"/>
      <x:c r="C108" s="42"/>
      <x:c r="D108" s="42"/>
      <x:c r="E108" s="42"/>
      <x:c r="F108" s="42"/>
      <x:c r="G108" s="42"/>
      <x:c r="H108" s="42"/>
      <x:c r="I108" s="42"/>
      <x:c r="J108" s="42"/>
      <x:c r="K108" s="42"/>
      <x:c r="L108" s="42"/>
      <x:c r="M108" s="42"/>
    </x:row>
    <x:row r="109">
      <x:c r="A109" s="42"/>
      <x:c r="B109" s="42"/>
      <x:c r="C109" s="42"/>
      <x:c r="D109" s="42"/>
      <x:c r="E109" s="42"/>
      <x:c r="F109" s="42"/>
      <x:c r="G109" s="42"/>
      <x:c r="H109" s="42"/>
      <x:c r="I109" s="42"/>
      <x:c r="J109" s="42"/>
      <x:c r="K109" s="42"/>
      <x:c r="L109" s="42"/>
      <x:c r="M109" s="42"/>
    </x:row>
    <x:row r="110">
      <x:c r="A110" s="42"/>
      <x:c r="B110" s="42"/>
      <x:c r="C110" s="42"/>
      <x:c r="D110" s="42"/>
      <x:c r="E110" s="42"/>
      <x:c r="F110" s="42"/>
      <x:c r="G110" s="42"/>
      <x:c r="H110" s="42"/>
      <x:c r="I110" s="42"/>
      <x:c r="J110" s="42"/>
      <x:c r="K110" s="42"/>
      <x:c r="L110" s="42"/>
      <x:c r="M110" s="42"/>
    </x:row>
    <x:row r="111">
      <x:c r="A111" s="42"/>
      <x:c r="B111" s="42"/>
      <x:c r="C111" s="42"/>
      <x:c r="D111" s="42"/>
      <x:c r="E111" s="42"/>
      <x:c r="F111" s="42"/>
      <x:c r="G111" s="42"/>
      <x:c r="H111" s="42"/>
      <x:c r="I111" s="42"/>
      <x:c r="J111" s="42"/>
      <x:c r="K111" s="42"/>
      <x:c r="L111" s="42"/>
      <x:c r="M111" s="42"/>
    </x:row>
    <x:row r="112">
      <x:c r="A112" s="42"/>
      <x:c r="B112" s="42"/>
      <x:c r="C112" s="42"/>
      <x:c r="D112" s="42"/>
      <x:c r="E112" s="42"/>
      <x:c r="F112" s="42"/>
      <x:c r="G112" s="42"/>
      <x:c r="H112" s="42"/>
      <x:c r="I112" s="42"/>
      <x:c r="J112" s="42"/>
      <x:c r="K112" s="42"/>
      <x:c r="L112" s="42"/>
      <x:c r="M112" s="42"/>
    </x:row>
    <x:row r="113">
      <x:c r="A113" s="42"/>
      <x:c r="B113" s="42"/>
      <x:c r="C113" s="42"/>
      <x:c r="D113" s="42"/>
      <x:c r="E113" s="42"/>
      <x:c r="F113" s="42"/>
      <x:c r="G113" s="42"/>
      <x:c r="H113" s="42"/>
      <x:c r="I113" s="42"/>
      <x:c r="J113" s="42"/>
      <x:c r="K113" s="42"/>
      <x:c r="L113" s="42"/>
      <x:c r="M113" s="42"/>
    </x:row>
    <x:row r="114">
      <x:c r="A114" s="42"/>
      <x:c r="B114" s="42"/>
      <x:c r="C114" s="42"/>
      <x:c r="D114" s="42"/>
      <x:c r="E114" s="42"/>
      <x:c r="F114" s="42"/>
      <x:c r="G114" s="42"/>
      <x:c r="H114" s="42"/>
      <x:c r="I114" s="42"/>
      <x:c r="J114" s="42"/>
      <x:c r="K114" s="42"/>
      <x:c r="L114" s="42"/>
      <x:c r="M114" s="42"/>
    </x:row>
    <x:row r="115">
      <x:c r="A115" s="42"/>
      <x:c r="B115" s="42"/>
      <x:c r="C115" s="42"/>
      <x:c r="D115" s="42"/>
      <x:c r="E115" s="42"/>
      <x:c r="F115" s="42"/>
      <x:c r="G115" s="42"/>
      <x:c r="H115" s="42"/>
      <x:c r="I115" s="42"/>
      <x:c r="J115" s="42"/>
      <x:c r="K115" s="42"/>
      <x:c r="L115" s="42"/>
      <x:c r="M115" s="42"/>
    </x:row>
    <x:row r="116">
      <x:c r="A116" s="42"/>
      <x:c r="B116" s="42"/>
      <x:c r="C116" s="42"/>
      <x:c r="D116" s="42"/>
      <x:c r="E116" s="42"/>
      <x:c r="F116" s="42"/>
      <x:c r="G116" s="42"/>
      <x:c r="H116" s="42"/>
      <x:c r="I116" s="42"/>
      <x:c r="J116" s="42"/>
      <x:c r="K116" s="42"/>
      <x:c r="L116" s="42"/>
      <x:c r="M116" s="42"/>
    </x:row>
    <x:row r="117">
      <x:c r="A117" s="42"/>
      <x:c r="B117" s="42"/>
      <x:c r="C117" s="42"/>
      <x:c r="D117" s="42"/>
      <x:c r="E117" s="42"/>
      <x:c r="F117" s="42"/>
      <x:c r="G117" s="42"/>
      <x:c r="H117" s="42"/>
      <x:c r="I117" s="42"/>
      <x:c r="J117" s="42"/>
      <x:c r="K117" s="42"/>
      <x:c r="L117" s="42"/>
      <x:c r="M117" s="42"/>
    </x:row>
    <x:row r="118">
      <x:c r="A118" s="42"/>
      <x:c r="B118" s="42"/>
      <x:c r="C118" s="42"/>
      <x:c r="D118" s="42"/>
      <x:c r="E118" s="42"/>
      <x:c r="F118" s="42"/>
      <x:c r="G118" s="42"/>
      <x:c r="H118" s="42"/>
      <x:c r="I118" s="42"/>
      <x:c r="J118" s="42"/>
      <x:c r="K118" s="42"/>
      <x:c r="L118" s="42"/>
      <x:c r="M118" s="42"/>
    </x:row>
    <x:row r="119">
      <x:c r="A119" s="42"/>
      <x:c r="B119" s="42"/>
      <x:c r="C119" s="42"/>
      <x:c r="D119" s="42"/>
      <x:c r="E119" s="42"/>
      <x:c r="F119" s="42"/>
      <x:c r="G119" s="42"/>
      <x:c r="H119" s="42"/>
      <x:c r="I119" s="42"/>
      <x:c r="J119" s="42"/>
      <x:c r="K119" s="42"/>
      <x:c r="L119" s="42"/>
      <x:c r="M119" s="42"/>
    </x:row>
    <x:row r="120">
      <x:c r="A120" s="42"/>
      <x:c r="B120" s="42"/>
      <x:c r="C120" s="42"/>
      <x:c r="D120" s="42"/>
      <x:c r="E120" s="42"/>
      <x:c r="F120" s="42"/>
      <x:c r="G120" s="42"/>
      <x:c r="H120" s="42"/>
      <x:c r="I120" s="42"/>
      <x:c r="J120" s="42"/>
      <x:c r="K120" s="42"/>
      <x:c r="L120" s="42"/>
      <x:c r="M120" s="42"/>
    </x:row>
    <x:row r="121">
      <x:c r="A121" s="42"/>
      <x:c r="B121" s="42"/>
      <x:c r="C121" s="42"/>
      <x:c r="D121" s="42"/>
      <x:c r="E121" s="42"/>
      <x:c r="F121" s="42"/>
      <x:c r="G121" s="42"/>
      <x:c r="H121" s="42"/>
      <x:c r="I121" s="42"/>
      <x:c r="J121" s="42"/>
      <x:c r="K121" s="42"/>
      <x:c r="L121" s="42"/>
      <x:c r="M121" s="42"/>
    </x:row>
    <x:row r="122">
      <x:c r="A122" s="42"/>
      <x:c r="B122" s="42"/>
      <x:c r="C122" s="42"/>
      <x:c r="D122" s="42"/>
      <x:c r="E122" s="42"/>
      <x:c r="F122" s="42"/>
      <x:c r="G122" s="42"/>
      <x:c r="H122" s="42"/>
      <x:c r="I122" s="42"/>
      <x:c r="J122" s="42"/>
      <x:c r="K122" s="42"/>
      <x:c r="L122" s="42"/>
      <x:c r="M122" s="42"/>
    </x:row>
    <x:row r="123">
      <x:c r="A123" s="42"/>
      <x:c r="B123" s="42"/>
      <x:c r="C123" s="42"/>
      <x:c r="D123" s="42"/>
      <x:c r="E123" s="42"/>
      <x:c r="F123" s="42"/>
      <x:c r="G123" s="42"/>
      <x:c r="H123" s="42"/>
      <x:c r="I123" s="42"/>
      <x:c r="J123" s="42"/>
      <x:c r="K123" s="42"/>
      <x:c r="L123" s="42"/>
      <x:c r="M123" s="42"/>
    </x:row>
    <x:row r="124">
      <x:c r="A124" s="42"/>
      <x:c r="B124" s="42"/>
      <x:c r="C124" s="42"/>
      <x:c r="D124" s="42"/>
      <x:c r="E124" s="42"/>
      <x:c r="F124" s="42"/>
      <x:c r="G124" s="42"/>
      <x:c r="H124" s="42"/>
      <x:c r="I124" s="42"/>
      <x:c r="J124" s="42"/>
      <x:c r="K124" s="42"/>
      <x:c r="L124" s="42"/>
      <x:c r="M124" s="42"/>
    </x:row>
    <x:row r="125">
      <x:c r="A125" s="42"/>
      <x:c r="B125" s="42"/>
      <x:c r="C125" s="42"/>
      <x:c r="D125" s="42"/>
      <x:c r="E125" s="42"/>
      <x:c r="F125" s="42"/>
      <x:c r="G125" s="42"/>
      <x:c r="H125" s="42"/>
      <x:c r="I125" s="42"/>
      <x:c r="J125" s="42"/>
      <x:c r="K125" s="42"/>
      <x:c r="L125" s="42"/>
      <x:c r="M125" s="42"/>
    </x:row>
    <x:row r="126">
      <x:c r="A126" s="42"/>
      <x:c r="B126" s="42"/>
      <x:c r="C126" s="42"/>
      <x:c r="D126" s="42"/>
      <x:c r="E126" s="42"/>
      <x:c r="F126" s="42"/>
      <x:c r="G126" s="42"/>
      <x:c r="H126" s="42"/>
      <x:c r="I126" s="42"/>
      <x:c r="J126" s="42"/>
      <x:c r="K126" s="42"/>
      <x:c r="L126" s="42"/>
      <x:c r="M126" s="42"/>
    </x:row>
    <x:row r="127">
      <x:c r="A127" s="42"/>
      <x:c r="B127" s="42"/>
      <x:c r="C127" s="42"/>
      <x:c r="D127" s="42"/>
      <x:c r="E127" s="42"/>
      <x:c r="F127" s="42"/>
      <x:c r="G127" s="42"/>
      <x:c r="H127" s="42"/>
      <x:c r="I127" s="42"/>
      <x:c r="J127" s="42"/>
      <x:c r="K127" s="42"/>
      <x:c r="L127" s="42"/>
      <x:c r="M127" s="42"/>
    </x:row>
    <x:row r="128">
      <x:c r="A128" s="42"/>
      <x:c r="B128" s="42"/>
      <x:c r="C128" s="42"/>
      <x:c r="D128" s="42"/>
      <x:c r="E128" s="42"/>
      <x:c r="F128" s="42"/>
      <x:c r="G128" s="42"/>
      <x:c r="H128" s="42"/>
      <x:c r="I128" s="42"/>
      <x:c r="J128" s="42"/>
      <x:c r="K128" s="42"/>
      <x:c r="L128" s="42"/>
      <x:c r="M128" s="42"/>
    </x:row>
    <x:row r="129">
      <x:c r="A129" s="42"/>
      <x:c r="B129" s="42"/>
      <x:c r="C129" s="42"/>
      <x:c r="D129" s="42"/>
      <x:c r="E129" s="42"/>
      <x:c r="F129" s="42"/>
      <x:c r="G129" s="42"/>
      <x:c r="H129" s="42"/>
      <x:c r="I129" s="42"/>
      <x:c r="J129" s="42"/>
      <x:c r="K129" s="42"/>
      <x:c r="L129" s="42"/>
      <x:c r="M129" s="42"/>
    </x:row>
    <x:row r="130">
      <x:c r="A130" s="42"/>
      <x:c r="B130" s="42"/>
      <x:c r="C130" s="42"/>
      <x:c r="D130" s="42"/>
      <x:c r="E130" s="42"/>
      <x:c r="F130" s="42"/>
      <x:c r="G130" s="42"/>
      <x:c r="H130" s="42"/>
      <x:c r="I130" s="42"/>
      <x:c r="J130" s="42"/>
      <x:c r="K130" s="42"/>
      <x:c r="L130" s="42"/>
      <x:c r="M130" s="42"/>
    </x:row>
    <x:row r="131">
      <x:c r="A131" s="42"/>
      <x:c r="B131" s="42"/>
      <x:c r="C131" s="42"/>
      <x:c r="D131" s="42"/>
      <x:c r="E131" s="42"/>
      <x:c r="F131" s="42"/>
      <x:c r="G131" s="42"/>
      <x:c r="H131" s="42"/>
      <x:c r="I131" s="42"/>
      <x:c r="J131" s="42"/>
      <x:c r="K131" s="42"/>
      <x:c r="L131" s="42"/>
      <x:c r="M131" s="42"/>
    </x:row>
    <x:row r="132">
      <x:c r="A132" s="42"/>
      <x:c r="B132" s="42"/>
      <x:c r="C132" s="42"/>
      <x:c r="D132" s="42"/>
      <x:c r="E132" s="42"/>
      <x:c r="F132" s="42"/>
      <x:c r="G132" s="42"/>
      <x:c r="H132" s="42"/>
      <x:c r="I132" s="42"/>
      <x:c r="J132" s="42"/>
      <x:c r="K132" s="42"/>
      <x:c r="L132" s="42"/>
      <x:c r="M132" s="42"/>
    </x:row>
    <x:row r="133">
      <x:c r="A133" s="42"/>
      <x:c r="B133" s="42"/>
      <x:c r="C133" s="42"/>
      <x:c r="D133" s="42"/>
      <x:c r="E133" s="42"/>
      <x:c r="F133" s="42"/>
      <x:c r="G133" s="42"/>
      <x:c r="H133" s="42"/>
      <x:c r="I133" s="42"/>
      <x:c r="J133" s="42"/>
      <x:c r="K133" s="42"/>
      <x:c r="L133" s="42"/>
      <x:c r="M133" s="42"/>
    </x:row>
    <x:row r="134">
      <x:c r="A134" s="42"/>
      <x:c r="B134" s="42"/>
      <x:c r="C134" s="42"/>
      <x:c r="D134" s="42"/>
      <x:c r="E134" s="42"/>
      <x:c r="F134" s="42"/>
      <x:c r="G134" s="42"/>
      <x:c r="H134" s="42"/>
      <x:c r="I134" s="42"/>
      <x:c r="J134" s="42"/>
      <x:c r="K134" s="42"/>
      <x:c r="L134" s="42"/>
      <x:c r="M134" s="42"/>
    </x:row>
    <x:row r="135">
      <x:c r="A135" s="42"/>
      <x:c r="B135" s="42"/>
      <x:c r="C135" s="42"/>
      <x:c r="D135" s="42"/>
      <x:c r="E135" s="42"/>
      <x:c r="F135" s="42"/>
      <x:c r="G135" s="42"/>
      <x:c r="H135" s="42"/>
      <x:c r="I135" s="42"/>
      <x:c r="J135" s="42"/>
      <x:c r="K135" s="42"/>
      <x:c r="L135" s="42"/>
      <x:c r="M135" s="42"/>
    </x:row>
    <x:row r="136">
      <x:c r="A136" s="42"/>
      <x:c r="B136" s="42"/>
      <x:c r="C136" s="42"/>
      <x:c r="D136" s="42"/>
      <x:c r="E136" s="42"/>
      <x:c r="F136" s="42"/>
      <x:c r="G136" s="42"/>
      <x:c r="H136" s="42"/>
      <x:c r="I136" s="42"/>
      <x:c r="J136" s="42"/>
      <x:c r="K136" s="42"/>
      <x:c r="L136" s="42"/>
      <x:c r="M136" s="42"/>
    </x:row>
    <x:row r="137">
      <x:c r="A137" s="42"/>
      <x:c r="B137" s="42"/>
      <x:c r="C137" s="42"/>
      <x:c r="D137" s="42"/>
      <x:c r="E137" s="42"/>
      <x:c r="F137" s="42"/>
      <x:c r="G137" s="42"/>
      <x:c r="H137" s="42"/>
      <x:c r="I137" s="42"/>
      <x:c r="J137" s="42"/>
      <x:c r="K137" s="42"/>
      <x:c r="L137" s="42"/>
      <x:c r="M137" s="42"/>
    </x:row>
    <x:row r="138">
      <x:c r="A138" s="42"/>
      <x:c r="B138" s="42"/>
      <x:c r="C138" s="42"/>
      <x:c r="D138" s="42"/>
      <x:c r="E138" s="42"/>
      <x:c r="F138" s="42"/>
      <x:c r="G138" s="42"/>
      <x:c r="H138" s="42"/>
      <x:c r="I138" s="42"/>
      <x:c r="J138" s="42"/>
      <x:c r="K138" s="42"/>
      <x:c r="L138" s="42"/>
      <x:c r="M138" s="42"/>
    </x:row>
    <x:row r="139">
      <x:c r="A139" s="42"/>
      <x:c r="B139" s="42"/>
      <x:c r="C139" s="42"/>
      <x:c r="D139" s="42"/>
      <x:c r="E139" s="42"/>
      <x:c r="F139" s="42"/>
      <x:c r="G139" s="42"/>
      <x:c r="H139" s="42"/>
      <x:c r="I139" s="42"/>
      <x:c r="J139" s="42"/>
      <x:c r="K139" s="42"/>
      <x:c r="L139" s="42"/>
      <x:c r="M139" s="42"/>
    </x:row>
    <x:row r="140">
      <x:c r="A140" s="42"/>
      <x:c r="B140" s="42"/>
      <x:c r="C140" s="42"/>
      <x:c r="D140" s="42"/>
      <x:c r="E140" s="42"/>
      <x:c r="F140" s="42"/>
      <x:c r="G140" s="42"/>
      <x:c r="H140" s="42"/>
      <x:c r="I140" s="42"/>
      <x:c r="J140" s="42"/>
      <x:c r="K140" s="42"/>
      <x:c r="L140" s="42"/>
      <x:c r="M140" s="42"/>
    </x:row>
    <x:row r="141">
      <x:c r="A141" s="42"/>
      <x:c r="B141" s="42"/>
      <x:c r="C141" s="42"/>
      <x:c r="D141" s="42"/>
      <x:c r="E141" s="42"/>
      <x:c r="F141" s="42"/>
      <x:c r="G141" s="42"/>
      <x:c r="H141" s="42"/>
      <x:c r="I141" s="42"/>
      <x:c r="J141" s="42"/>
      <x:c r="K141" s="42"/>
      <x:c r="L141" s="42"/>
      <x:c r="M141" s="42"/>
    </x:row>
    <x:row r="142">
      <x:c r="A142" s="42"/>
      <x:c r="B142" s="42"/>
      <x:c r="C142" s="42"/>
      <x:c r="D142" s="42"/>
      <x:c r="E142" s="42"/>
      <x:c r="F142" s="42"/>
      <x:c r="G142" s="42"/>
      <x:c r="H142" s="42"/>
      <x:c r="I142" s="42"/>
      <x:c r="J142" s="42"/>
      <x:c r="K142" s="42"/>
      <x:c r="L142" s="42"/>
      <x:c r="M142" s="42"/>
    </x:row>
    <x:row r="143">
      <x:c r="A143" s="42"/>
      <x:c r="B143" s="42"/>
      <x:c r="C143" s="42"/>
      <x:c r="D143" s="42"/>
      <x:c r="E143" s="42"/>
      <x:c r="F143" s="42"/>
      <x:c r="G143" s="42"/>
      <x:c r="H143" s="42"/>
      <x:c r="I143" s="42"/>
      <x:c r="J143" s="42"/>
      <x:c r="K143" s="42"/>
      <x:c r="L143" s="42"/>
      <x:c r="M143" s="42"/>
    </x:row>
    <x:row r="144">
      <x:c r="A144" s="42"/>
      <x:c r="B144" s="42"/>
      <x:c r="C144" s="42"/>
      <x:c r="D144" s="42"/>
      <x:c r="E144" s="42"/>
      <x:c r="F144" s="42"/>
      <x:c r="G144" s="42"/>
      <x:c r="H144" s="42"/>
      <x:c r="I144" s="42"/>
      <x:c r="J144" s="42"/>
      <x:c r="K144" s="42"/>
      <x:c r="L144" s="42"/>
      <x:c r="M144" s="42"/>
    </x:row>
    <x:row r="145">
      <x:c r="A145" s="42"/>
      <x:c r="B145" s="42"/>
      <x:c r="C145" s="42"/>
      <x:c r="D145" s="42"/>
      <x:c r="E145" s="42"/>
      <x:c r="F145" s="42"/>
      <x:c r="G145" s="42"/>
      <x:c r="H145" s="42"/>
      <x:c r="I145" s="42"/>
      <x:c r="J145" s="42"/>
      <x:c r="K145" s="42"/>
      <x:c r="L145" s="42"/>
      <x:c r="M145" s="42"/>
    </x:row>
    <x:row r="146">
      <x:c r="A146" s="42"/>
      <x:c r="B146" s="42"/>
      <x:c r="C146" s="42"/>
      <x:c r="D146" s="42"/>
      <x:c r="E146" s="42"/>
      <x:c r="F146" s="42"/>
      <x:c r="G146" s="42"/>
      <x:c r="H146" s="42"/>
      <x:c r="I146" s="42"/>
      <x:c r="J146" s="42"/>
      <x:c r="K146" s="42"/>
      <x:c r="L146" s="42"/>
      <x:c r="M146" s="42"/>
    </x:row>
    <x:row r="147">
      <x:c r="A147" s="42"/>
      <x:c r="B147" s="42"/>
      <x:c r="C147" s="42"/>
      <x:c r="D147" s="42"/>
      <x:c r="E147" s="42"/>
      <x:c r="F147" s="42"/>
      <x:c r="G147" s="42"/>
      <x:c r="H147" s="42"/>
      <x:c r="I147" s="42"/>
      <x:c r="J147" s="42"/>
      <x:c r="K147" s="42"/>
      <x:c r="L147" s="42"/>
      <x:c r="M147" s="42"/>
    </x:row>
    <x:row r="148">
      <x:c r="A148" s="42"/>
      <x:c r="B148" s="42"/>
      <x:c r="C148" s="42"/>
      <x:c r="D148" s="42"/>
      <x:c r="E148" s="42"/>
      <x:c r="F148" s="42"/>
      <x:c r="G148" s="42"/>
      <x:c r="H148" s="42"/>
      <x:c r="I148" s="42"/>
      <x:c r="J148" s="42"/>
      <x:c r="K148" s="42"/>
      <x:c r="L148" s="42"/>
      <x:c r="M148" s="42"/>
    </x:row>
    <x:row r="149">
      <x:c r="A149" s="42"/>
      <x:c r="B149" s="42"/>
      <x:c r="C149" s="42"/>
      <x:c r="D149" s="42"/>
      <x:c r="E149" s="42"/>
      <x:c r="F149" s="42"/>
      <x:c r="G149" s="42"/>
      <x:c r="H149" s="42"/>
      <x:c r="I149" s="42"/>
      <x:c r="J149" s="42"/>
      <x:c r="K149" s="42"/>
      <x:c r="L149" s="42"/>
      <x:c r="M149" s="42"/>
    </x:row>
    <x:row r="150">
      <x:c r="A150" s="42"/>
      <x:c r="B150" s="42"/>
      <x:c r="C150" s="42"/>
      <x:c r="D150" s="42"/>
      <x:c r="E150" s="42"/>
      <x:c r="F150" s="42"/>
      <x:c r="G150" s="42"/>
      <x:c r="H150" s="42"/>
      <x:c r="I150" s="42"/>
      <x:c r="J150" s="42"/>
      <x:c r="K150" s="42"/>
      <x:c r="L150" s="42"/>
      <x:c r="M150" s="42"/>
    </x:row>
    <x:row r="151">
      <x:c r="A151" s="42"/>
      <x:c r="B151" s="42"/>
      <x:c r="C151" s="42"/>
      <x:c r="D151" s="42"/>
      <x:c r="E151" s="42"/>
      <x:c r="F151" s="42"/>
      <x:c r="G151" s="42"/>
      <x:c r="H151" s="42"/>
      <x:c r="I151" s="42"/>
      <x:c r="J151" s="42"/>
      <x:c r="K151" s="42"/>
      <x:c r="L151" s="42"/>
      <x:c r="M151" s="42"/>
    </x:row>
    <x:row r="152">
      <x:c r="A152" s="42"/>
      <x:c r="B152" s="42"/>
      <x:c r="C152" s="42"/>
      <x:c r="D152" s="42"/>
      <x:c r="E152" s="42"/>
      <x:c r="F152" s="42"/>
      <x:c r="G152" s="42"/>
      <x:c r="H152" s="42"/>
      <x:c r="I152" s="42"/>
      <x:c r="J152" s="42"/>
      <x:c r="K152" s="42"/>
      <x:c r="L152" s="42"/>
      <x:c r="M152" s="42"/>
    </x:row>
    <x:row r="153">
      <x:c r="A153" s="42"/>
      <x:c r="B153" s="42"/>
      <x:c r="C153" s="42"/>
      <x:c r="D153" s="42"/>
      <x:c r="E153" s="42"/>
      <x:c r="F153" s="42"/>
      <x:c r="G153" s="42"/>
      <x:c r="H153" s="42"/>
      <x:c r="I153" s="42"/>
      <x:c r="J153" s="42"/>
      <x:c r="K153" s="42"/>
      <x:c r="L153" s="42"/>
      <x:c r="M153" s="42"/>
    </x:row>
    <x:row r="154">
      <x:c r="A154" s="42"/>
      <x:c r="B154" s="42"/>
      <x:c r="C154" s="42"/>
      <x:c r="D154" s="42"/>
      <x:c r="E154" s="42"/>
      <x:c r="F154" s="42"/>
      <x:c r="G154" s="42"/>
      <x:c r="H154" s="42"/>
      <x:c r="I154" s="42"/>
      <x:c r="J154" s="42"/>
      <x:c r="K154" s="42"/>
      <x:c r="L154" s="42"/>
      <x:c r="M154" s="42"/>
    </x:row>
    <x:row r="155">
      <x:c r="A155" s="42"/>
      <x:c r="B155" s="42"/>
      <x:c r="C155" s="42"/>
      <x:c r="D155" s="42"/>
      <x:c r="E155" s="42"/>
      <x:c r="F155" s="42"/>
      <x:c r="G155" s="42"/>
      <x:c r="H155" s="42"/>
      <x:c r="I155" s="42"/>
      <x:c r="J155" s="42"/>
      <x:c r="K155" s="42"/>
      <x:c r="L155" s="42"/>
      <x:c r="M155" s="42"/>
    </x:row>
    <x:row r="156">
      <x:c r="A156" s="42"/>
      <x:c r="B156" s="42"/>
      <x:c r="C156" s="42"/>
      <x:c r="D156" s="42"/>
      <x:c r="E156" s="42"/>
      <x:c r="F156" s="42"/>
      <x:c r="G156" s="42"/>
      <x:c r="H156" s="42"/>
      <x:c r="I156" s="42"/>
      <x:c r="J156" s="42"/>
      <x:c r="K156" s="42"/>
      <x:c r="L156" s="42"/>
      <x:c r="M156" s="42"/>
    </x:row>
    <x:row r="157">
      <x:c r="A157" s="42"/>
      <x:c r="B157" s="42"/>
      <x:c r="C157" s="42"/>
      <x:c r="D157" s="42"/>
      <x:c r="E157" s="42"/>
      <x:c r="F157" s="42"/>
      <x:c r="G157" s="42"/>
      <x:c r="H157" s="42"/>
      <x:c r="I157" s="42"/>
      <x:c r="J157" s="42"/>
      <x:c r="K157" s="42"/>
      <x:c r="L157" s="42"/>
      <x:c r="M157" s="42"/>
    </x:row>
    <x:row r="158">
      <x:c r="A158" s="42"/>
      <x:c r="B158" s="42"/>
      <x:c r="C158" s="42"/>
      <x:c r="D158" s="42"/>
      <x:c r="E158" s="42"/>
      <x:c r="F158" s="42"/>
      <x:c r="G158" s="42"/>
      <x:c r="H158" s="42"/>
      <x:c r="I158" s="42"/>
      <x:c r="J158" s="42"/>
      <x:c r="K158" s="42"/>
      <x:c r="L158" s="42"/>
      <x:c r="M158" s="42"/>
    </x:row>
    <x:row r="159">
      <x:c r="A159" s="42"/>
      <x:c r="B159" s="42"/>
      <x:c r="C159" s="42"/>
      <x:c r="D159" s="42"/>
      <x:c r="E159" s="42"/>
      <x:c r="F159" s="42"/>
      <x:c r="G159" s="42"/>
      <x:c r="H159" s="42"/>
      <x:c r="I159" s="42"/>
      <x:c r="J159" s="42"/>
      <x:c r="K159" s="42"/>
      <x:c r="L159" s="42"/>
      <x:c r="M159" s="42"/>
    </x:row>
    <x:row r="160">
      <x:c r="A160" s="42"/>
      <x:c r="B160" s="42"/>
      <x:c r="C160" s="42"/>
      <x:c r="D160" s="42"/>
      <x:c r="E160" s="42"/>
      <x:c r="F160" s="42"/>
      <x:c r="G160" s="42"/>
      <x:c r="H160" s="42"/>
      <x:c r="I160" s="42"/>
      <x:c r="J160" s="42"/>
      <x:c r="K160" s="42"/>
      <x:c r="L160" s="42"/>
      <x:c r="M160" s="42"/>
    </x:row>
    <x:row r="161">
      <x:c r="A161" s="42"/>
      <x:c r="B161" s="42"/>
      <x:c r="C161" s="42"/>
      <x:c r="D161" s="42"/>
      <x:c r="E161" s="42"/>
      <x:c r="F161" s="42"/>
      <x:c r="G161" s="42"/>
      <x:c r="H161" s="42"/>
      <x:c r="I161" s="42"/>
      <x:c r="J161" s="42"/>
      <x:c r="K161" s="42"/>
      <x:c r="L161" s="42"/>
      <x:c r="M161" s="42"/>
    </x:row>
    <x:row r="162">
      <x:c r="A162" s="42"/>
      <x:c r="B162" s="42"/>
      <x:c r="C162" s="42"/>
      <x:c r="D162" s="42"/>
      <x:c r="E162" s="42"/>
      <x:c r="F162" s="42"/>
      <x:c r="G162" s="42"/>
      <x:c r="H162" s="42"/>
      <x:c r="I162" s="42"/>
      <x:c r="J162" s="42"/>
      <x:c r="K162" s="42"/>
      <x:c r="L162" s="42"/>
      <x:c r="M162" s="42"/>
    </x:row>
    <x:row r="163">
      <x:c r="A163" s="42"/>
      <x:c r="B163" s="42"/>
      <x:c r="C163" s="42"/>
      <x:c r="D163" s="42"/>
      <x:c r="E163" s="42"/>
      <x:c r="F163" s="42"/>
      <x:c r="G163" s="42"/>
      <x:c r="H163" s="42"/>
      <x:c r="I163" s="42"/>
      <x:c r="J163" s="42"/>
      <x:c r="K163" s="42"/>
      <x:c r="L163" s="42"/>
      <x:c r="M163" s="42"/>
    </x:row>
    <x:row r="164">
      <x:c r="A164" s="42"/>
      <x:c r="B164" s="42"/>
      <x:c r="C164" s="42"/>
      <x:c r="D164" s="42"/>
      <x:c r="E164" s="42"/>
      <x:c r="F164" s="42"/>
      <x:c r="G164" s="42"/>
      <x:c r="H164" s="42"/>
      <x:c r="I164" s="42"/>
      <x:c r="J164" s="42"/>
      <x:c r="K164" s="42"/>
      <x:c r="L164" s="42"/>
      <x:c r="M164" s="42"/>
    </x:row>
    <x:row r="165">
      <x:c r="A165" s="42"/>
      <x:c r="B165" s="42"/>
      <x:c r="C165" s="42"/>
      <x:c r="D165" s="42"/>
      <x:c r="E165" s="42"/>
      <x:c r="F165" s="42"/>
      <x:c r="G165" s="42"/>
      <x:c r="H165" s="42"/>
      <x:c r="I165" s="42"/>
      <x:c r="J165" s="42"/>
      <x:c r="K165" s="42"/>
      <x:c r="L165" s="42"/>
      <x:c r="M165" s="42"/>
    </x:row>
    <x:row r="166">
      <x:c r="A166" s="42"/>
      <x:c r="B166" s="42"/>
      <x:c r="C166" s="42"/>
      <x:c r="D166" s="42"/>
      <x:c r="E166" s="42"/>
      <x:c r="F166" s="42"/>
      <x:c r="G166" s="42"/>
      <x:c r="H166" s="42"/>
      <x:c r="I166" s="42"/>
      <x:c r="J166" s="42"/>
      <x:c r="K166" s="42"/>
      <x:c r="L166" s="42"/>
      <x:c r="M166" s="42"/>
    </x:row>
    <x:row r="167">
      <x:c r="A167" s="42"/>
      <x:c r="B167" s="42"/>
      <x:c r="C167" s="42"/>
      <x:c r="D167" s="42"/>
      <x:c r="E167" s="42"/>
      <x:c r="F167" s="42"/>
      <x:c r="G167" s="42"/>
      <x:c r="H167" s="42"/>
      <x:c r="I167" s="42"/>
      <x:c r="J167" s="42"/>
      <x:c r="K167" s="42"/>
      <x:c r="L167" s="42"/>
      <x:c r="M167" s="42"/>
    </x:row>
    <x:row r="168">
      <x:c r="A168" s="42"/>
      <x:c r="B168" s="42"/>
      <x:c r="C168" s="42"/>
      <x:c r="D168" s="42"/>
      <x:c r="E168" s="42"/>
      <x:c r="F168" s="42"/>
      <x:c r="G168" s="42"/>
      <x:c r="H168" s="42"/>
      <x:c r="I168" s="42"/>
      <x:c r="J168" s="42"/>
      <x:c r="K168" s="42"/>
      <x:c r="L168" s="42"/>
      <x:c r="M168" s="42"/>
    </x:row>
    <x:row r="169">
      <x:c r="A169" s="42"/>
      <x:c r="B169" s="42"/>
      <x:c r="C169" s="42"/>
      <x:c r="D169" s="42"/>
      <x:c r="E169" s="42"/>
      <x:c r="F169" s="42"/>
      <x:c r="G169" s="42"/>
      <x:c r="H169" s="42"/>
      <x:c r="I169" s="42"/>
      <x:c r="J169" s="42"/>
      <x:c r="K169" s="42"/>
      <x:c r="L169" s="42"/>
      <x:c r="M169" s="42"/>
    </x:row>
    <x:row r="170">
      <x:c r="A170" s="42"/>
      <x:c r="B170" s="42"/>
      <x:c r="C170" s="42"/>
      <x:c r="D170" s="42"/>
      <x:c r="E170" s="42"/>
      <x:c r="F170" s="42"/>
      <x:c r="G170" s="42"/>
      <x:c r="H170" s="42"/>
      <x:c r="I170" s="42"/>
      <x:c r="J170" s="42"/>
      <x:c r="K170" s="42"/>
      <x:c r="L170" s="42"/>
      <x:c r="M170" s="42"/>
    </x:row>
    <x:row r="171">
      <x:c r="A171" s="42"/>
      <x:c r="B171" s="42"/>
      <x:c r="C171" s="42"/>
      <x:c r="D171" s="42"/>
      <x:c r="E171" s="42"/>
      <x:c r="F171" s="42"/>
      <x:c r="G171" s="42"/>
      <x:c r="H171" s="42"/>
      <x:c r="I171" s="42"/>
      <x:c r="J171" s="42"/>
      <x:c r="K171" s="42"/>
      <x:c r="L171" s="42"/>
      <x:c r="M171" s="42"/>
    </x:row>
    <x:row r="172">
      <x:c r="A172" s="42"/>
      <x:c r="B172" s="42"/>
      <x:c r="C172" s="42"/>
      <x:c r="D172" s="42"/>
      <x:c r="E172" s="42"/>
      <x:c r="F172" s="42"/>
      <x:c r="G172" s="42"/>
      <x:c r="H172" s="42"/>
      <x:c r="I172" s="42"/>
      <x:c r="J172" s="42"/>
      <x:c r="K172" s="42"/>
      <x:c r="L172" s="42"/>
      <x:c r="M172" s="42"/>
    </x:row>
    <x:row r="173">
      <x:c r="A173" s="42"/>
      <x:c r="B173" s="42"/>
      <x:c r="C173" s="42"/>
      <x:c r="D173" s="42"/>
      <x:c r="E173" s="42"/>
      <x:c r="F173" s="42"/>
      <x:c r="G173" s="42"/>
      <x:c r="H173" s="42"/>
      <x:c r="I173" s="42"/>
      <x:c r="J173" s="42"/>
      <x:c r="K173" s="42"/>
      <x:c r="L173" s="42"/>
      <x:c r="M173" s="42"/>
    </x:row>
    <x:row r="174">
      <x:c r="A174" s="42"/>
      <x:c r="B174" s="42"/>
      <x:c r="C174" s="42"/>
      <x:c r="D174" s="42"/>
      <x:c r="E174" s="42"/>
      <x:c r="F174" s="42"/>
      <x:c r="G174" s="42"/>
      <x:c r="H174" s="42"/>
      <x:c r="I174" s="42"/>
      <x:c r="J174" s="42"/>
      <x:c r="K174" s="42"/>
      <x:c r="L174" s="42"/>
      <x:c r="M174" s="42"/>
    </x:row>
    <x:row r="175">
      <x:c r="A175" s="42"/>
      <x:c r="B175" s="42"/>
      <x:c r="C175" s="42"/>
      <x:c r="D175" s="42"/>
      <x:c r="E175" s="42"/>
      <x:c r="F175" s="42"/>
      <x:c r="G175" s="42"/>
      <x:c r="H175" s="42"/>
      <x:c r="I175" s="42"/>
      <x:c r="J175" s="42"/>
      <x:c r="K175" s="42"/>
      <x:c r="L175" s="42"/>
      <x:c r="M175" s="42"/>
    </x:row>
    <x:row r="176">
      <x:c r="A176" s="42"/>
      <x:c r="B176" s="42"/>
      <x:c r="C176" s="42"/>
      <x:c r="D176" s="42"/>
      <x:c r="E176" s="42"/>
      <x:c r="F176" s="42"/>
      <x:c r="G176" s="42"/>
      <x:c r="H176" s="42"/>
      <x:c r="I176" s="42"/>
      <x:c r="J176" s="42"/>
      <x:c r="K176" s="42"/>
      <x:c r="L176" s="42"/>
      <x:c r="M176" s="42"/>
    </x:row>
    <x:row r="177">
      <x:c r="A177" s="42"/>
      <x:c r="B177" s="42"/>
      <x:c r="C177" s="42"/>
      <x:c r="D177" s="42"/>
      <x:c r="E177" s="42"/>
      <x:c r="F177" s="42"/>
      <x:c r="G177" s="42"/>
      <x:c r="H177" s="42"/>
      <x:c r="I177" s="42"/>
      <x:c r="J177" s="42"/>
      <x:c r="K177" s="42"/>
      <x:c r="L177" s="42"/>
      <x:c r="M177" s="42"/>
    </x:row>
    <x:row r="178">
      <x:c r="A178" s="42"/>
      <x:c r="B178" s="42"/>
      <x:c r="C178" s="42"/>
      <x:c r="D178" s="42"/>
      <x:c r="E178" s="42"/>
      <x:c r="F178" s="42"/>
      <x:c r="G178" s="42"/>
      <x:c r="H178" s="42"/>
      <x:c r="I178" s="42"/>
      <x:c r="J178" s="42"/>
      <x:c r="K178" s="42"/>
      <x:c r="L178" s="42"/>
      <x:c r="M178" s="42"/>
    </x:row>
    <x:row r="179">
      <x:c r="A179" s="42"/>
      <x:c r="B179" s="42"/>
      <x:c r="C179" s="42"/>
      <x:c r="D179" s="42"/>
      <x:c r="E179" s="42"/>
      <x:c r="F179" s="42"/>
      <x:c r="G179" s="42"/>
      <x:c r="H179" s="42"/>
      <x:c r="I179" s="42"/>
      <x:c r="J179" s="42"/>
      <x:c r="K179" s="42"/>
      <x:c r="L179" s="42"/>
      <x:c r="M179" s="42"/>
    </x:row>
    <x:row r="180">
      <x:c r="A180" s="42"/>
      <x:c r="B180" s="42"/>
      <x:c r="C180" s="42"/>
      <x:c r="D180" s="42"/>
      <x:c r="E180" s="42"/>
      <x:c r="F180" s="42"/>
      <x:c r="G180" s="42"/>
      <x:c r="H180" s="42"/>
      <x:c r="I180" s="42"/>
      <x:c r="J180" s="42"/>
      <x:c r="K180" s="42"/>
      <x:c r="L180" s="42"/>
      <x:c r="M180" s="42"/>
    </x:row>
    <x:row r="181">
      <x:c r="A181" s="42"/>
      <x:c r="B181" s="42"/>
      <x:c r="C181" s="42"/>
      <x:c r="D181" s="42"/>
      <x:c r="E181" s="42"/>
      <x:c r="F181" s="42"/>
      <x:c r="G181" s="42"/>
      <x:c r="H181" s="42"/>
      <x:c r="I181" s="42"/>
      <x:c r="J181" s="42"/>
      <x:c r="K181" s="42"/>
      <x:c r="L181" s="42"/>
      <x:c r="M181" s="42"/>
    </x:row>
    <x:row r="182">
      <x:c r="A182" s="42"/>
      <x:c r="B182" s="42"/>
      <x:c r="C182" s="42"/>
      <x:c r="D182" s="42"/>
      <x:c r="E182" s="42"/>
      <x:c r="F182" s="42"/>
      <x:c r="G182" s="42"/>
      <x:c r="H182" s="42"/>
      <x:c r="I182" s="42"/>
      <x:c r="J182" s="42"/>
      <x:c r="K182" s="42"/>
      <x:c r="L182" s="42"/>
      <x:c r="M182" s="42"/>
    </x:row>
    <x:row r="183">
      <x:c r="A183" s="42"/>
      <x:c r="B183" s="42"/>
      <x:c r="C183" s="42"/>
      <x:c r="D183" s="42"/>
      <x:c r="E183" s="42"/>
      <x:c r="F183" s="42"/>
      <x:c r="G183" s="42"/>
      <x:c r="H183" s="42"/>
      <x:c r="I183" s="42"/>
      <x:c r="J183" s="42"/>
      <x:c r="K183" s="42"/>
      <x:c r="L183" s="42"/>
      <x:c r="M183" s="42"/>
    </x:row>
    <x:row r="184">
      <x:c r="A184" s="42"/>
      <x:c r="B184" s="42"/>
      <x:c r="C184" s="42"/>
      <x:c r="D184" s="42"/>
      <x:c r="E184" s="42"/>
      <x:c r="F184" s="42"/>
      <x:c r="G184" s="42"/>
      <x:c r="H184" s="42"/>
      <x:c r="I184" s="42"/>
      <x:c r="J184" s="42"/>
      <x:c r="K184" s="42"/>
      <x:c r="L184" s="42"/>
      <x:c r="M184" s="42"/>
    </x:row>
    <x:row r="185">
      <x:c r="A185" s="42"/>
      <x:c r="B185" s="42"/>
      <x:c r="C185" s="42"/>
      <x:c r="D185" s="42"/>
      <x:c r="E185" s="42"/>
      <x:c r="F185" s="42"/>
      <x:c r="G185" s="42"/>
      <x:c r="H185" s="42"/>
      <x:c r="I185" s="42"/>
      <x:c r="J185" s="42"/>
      <x:c r="K185" s="42"/>
      <x:c r="L185" s="42"/>
      <x:c r="M185" s="42"/>
    </x:row>
    <x:row r="186">
      <x:c r="A186" s="42"/>
      <x:c r="B186" s="42"/>
      <x:c r="C186" s="42"/>
      <x:c r="D186" s="42"/>
      <x:c r="E186" s="42"/>
      <x:c r="F186" s="42"/>
      <x:c r="G186" s="42"/>
      <x:c r="H186" s="42"/>
      <x:c r="I186" s="42"/>
      <x:c r="J186" s="42"/>
      <x:c r="K186" s="42"/>
      <x:c r="L186" s="42"/>
      <x:c r="M186" s="42"/>
    </x:row>
    <x:row r="187">
      <x:c r="A187" s="42"/>
      <x:c r="B187" s="42"/>
      <x:c r="C187" s="42"/>
      <x:c r="D187" s="42"/>
      <x:c r="E187" s="42"/>
      <x:c r="F187" s="42"/>
      <x:c r="G187" s="42"/>
      <x:c r="H187" s="42"/>
      <x:c r="I187" s="42"/>
      <x:c r="J187" s="42"/>
      <x:c r="K187" s="42"/>
      <x:c r="L187" s="42"/>
      <x:c r="M187" s="42"/>
    </x:row>
    <x:row r="188">
      <x:c r="A188" s="42"/>
      <x:c r="B188" s="42"/>
      <x:c r="C188" s="42"/>
      <x:c r="D188" s="42"/>
      <x:c r="E188" s="42"/>
      <x:c r="F188" s="42"/>
      <x:c r="G188" s="42"/>
      <x:c r="H188" s="42"/>
      <x:c r="I188" s="42"/>
      <x:c r="J188" s="42"/>
      <x:c r="K188" s="42"/>
      <x:c r="L188" s="42"/>
      <x:c r="M188" s="42"/>
    </x:row>
    <x:row r="189">
      <x:c r="A189" s="42"/>
      <x:c r="B189" s="42"/>
      <x:c r="C189" s="42"/>
      <x:c r="D189" s="42"/>
      <x:c r="E189" s="42"/>
      <x:c r="F189" s="42"/>
      <x:c r="G189" s="42"/>
      <x:c r="H189" s="42"/>
      <x:c r="I189" s="42"/>
      <x:c r="J189" s="42"/>
      <x:c r="K189" s="42"/>
      <x:c r="L189" s="42"/>
      <x:c r="M189" s="42"/>
    </x:row>
    <x:row r="190">
      <x:c r="A190" s="42"/>
      <x:c r="B190" s="42"/>
      <x:c r="C190" s="42"/>
      <x:c r="D190" s="42"/>
      <x:c r="E190" s="42"/>
      <x:c r="F190" s="42"/>
      <x:c r="G190" s="42"/>
      <x:c r="H190" s="42"/>
      <x:c r="I190" s="42"/>
      <x:c r="J190" s="42"/>
      <x:c r="K190" s="42"/>
      <x:c r="L190" s="42"/>
      <x:c r="M190" s="42"/>
    </x:row>
    <x:row r="191">
      <x:c r="A191" s="42"/>
      <x:c r="B191" s="42"/>
      <x:c r="C191" s="42"/>
      <x:c r="D191" s="42"/>
      <x:c r="E191" s="42"/>
      <x:c r="F191" s="42"/>
      <x:c r="G191" s="42"/>
      <x:c r="H191" s="42"/>
      <x:c r="I191" s="42"/>
      <x:c r="J191" s="42"/>
      <x:c r="K191" s="42"/>
      <x:c r="L191" s="42"/>
      <x:c r="M191" s="42"/>
    </x:row>
    <x:row r="192">
      <x:c r="A192" s="42"/>
      <x:c r="B192" s="42"/>
      <x:c r="C192" s="42"/>
      <x:c r="D192" s="42"/>
      <x:c r="E192" s="42"/>
      <x:c r="F192" s="42"/>
      <x:c r="G192" s="42"/>
      <x:c r="H192" s="42"/>
      <x:c r="I192" s="42"/>
      <x:c r="J192" s="42"/>
      <x:c r="K192" s="42"/>
      <x:c r="L192" s="42"/>
      <x:c r="M192" s="42"/>
    </x:row>
    <x:row r="193">
      <x:c r="A193" s="42"/>
      <x:c r="B193" s="42"/>
      <x:c r="C193" s="42"/>
      <x:c r="D193" s="42"/>
      <x:c r="E193" s="42"/>
      <x:c r="F193" s="42"/>
      <x:c r="G193" s="42"/>
      <x:c r="H193" s="42"/>
      <x:c r="I193" s="42"/>
      <x:c r="J193" s="42"/>
      <x:c r="K193" s="42"/>
      <x:c r="L193" s="42"/>
      <x:c r="M193" s="42"/>
    </x:row>
    <x:row r="194">
      <x:c r="A194" s="42"/>
      <x:c r="B194" s="42"/>
      <x:c r="C194" s="42"/>
      <x:c r="D194" s="42"/>
      <x:c r="E194" s="42"/>
      <x:c r="F194" s="42"/>
      <x:c r="G194" s="42"/>
      <x:c r="H194" s="42"/>
      <x:c r="I194" s="42"/>
      <x:c r="J194" s="42"/>
      <x:c r="K194" s="42"/>
      <x:c r="L194" s="42"/>
      <x:c r="M194" s="42"/>
    </x:row>
    <x:row r="195">
      <x:c r="A195" s="42"/>
      <x:c r="B195" s="42"/>
      <x:c r="C195" s="42"/>
      <x:c r="D195" s="42"/>
      <x:c r="E195" s="42"/>
      <x:c r="F195" s="42"/>
      <x:c r="G195" s="42"/>
      <x:c r="H195" s="42"/>
      <x:c r="I195" s="42"/>
      <x:c r="J195" s="42"/>
      <x:c r="K195" s="42"/>
      <x:c r="L195" s="42"/>
      <x:c r="M195" s="42"/>
    </x:row>
    <x:row r="196">
      <x:c r="A196" s="42"/>
      <x:c r="B196" s="42"/>
      <x:c r="C196" s="42"/>
      <x:c r="D196" s="42"/>
      <x:c r="E196" s="42"/>
      <x:c r="F196" s="42"/>
      <x:c r="G196" s="42"/>
      <x:c r="H196" s="42"/>
      <x:c r="I196" s="42"/>
      <x:c r="J196" s="42"/>
      <x:c r="K196" s="42"/>
      <x:c r="L196" s="42"/>
      <x:c r="M196" s="42"/>
    </x:row>
    <x:row r="197">
      <x:c r="A197" s="42"/>
      <x:c r="B197" s="42"/>
      <x:c r="C197" s="42"/>
      <x:c r="D197" s="42"/>
      <x:c r="E197" s="42"/>
      <x:c r="F197" s="42"/>
      <x:c r="G197" s="42"/>
      <x:c r="H197" s="42"/>
      <x:c r="I197" s="42"/>
      <x:c r="J197" s="42"/>
      <x:c r="K197" s="42"/>
      <x:c r="L197" s="42"/>
      <x:c r="M197" s="42"/>
    </x:row>
    <x:row r="198">
      <x:c r="A198" s="42"/>
      <x:c r="B198" s="42"/>
      <x:c r="C198" s="42"/>
      <x:c r="D198" s="42"/>
      <x:c r="E198" s="42"/>
      <x:c r="F198" s="42"/>
      <x:c r="G198" s="42"/>
      <x:c r="H198" s="42"/>
      <x:c r="I198" s="42"/>
      <x:c r="J198" s="42"/>
      <x:c r="K198" s="42"/>
      <x:c r="L198" s="42"/>
      <x:c r="M198" s="42"/>
    </x:row>
    <x:row r="199">
      <x:c r="A199" s="42"/>
      <x:c r="B199" s="42"/>
      <x:c r="C199" s="42"/>
      <x:c r="D199" s="42"/>
      <x:c r="E199" s="42"/>
      <x:c r="F199" s="42"/>
      <x:c r="G199" s="42"/>
      <x:c r="H199" s="42"/>
      <x:c r="I199" s="42"/>
      <x:c r="J199" s="42"/>
      <x:c r="K199" s="42"/>
      <x:c r="L199" s="42"/>
      <x:c r="M199" s="42"/>
    </x:row>
    <x:row r="200">
      <x:c r="A200" s="42"/>
      <x:c r="B200" s="42"/>
      <x:c r="C200" s="42"/>
      <x:c r="D200" s="42"/>
      <x:c r="E200" s="42"/>
      <x:c r="F200" s="42"/>
      <x:c r="G200" s="42"/>
      <x:c r="H200" s="42"/>
      <x:c r="I200" s="42"/>
      <x:c r="J200" s="42"/>
      <x:c r="K200" s="42"/>
      <x:c r="L200" s="42"/>
      <x:c r="M200" s="42"/>
    </x:row>
  </x:sheetData>
  <x:mergeCells>
    <x:mergeCell ref="A1:M1"/>
    <x:mergeCell ref="A2:M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.25" hidden="0" customWidth="1"/>
    <x:col min="2" max="2" width="11.880000114440918" hidden="0" customWidth="1"/>
    <x:col min="3" max="3" width="11.880000114440918" hidden="0" customWidth="1"/>
    <x:col min="4" max="4" width="11.880000114440918" hidden="0" customWidth="1"/>
    <x:col min="5" max="5" width="11.880000114440918" hidden="0" customWidth="1"/>
    <x:col min="6" max="6" width="11.880000114440918" hidden="0" customWidth="1"/>
    <x:col min="7" max="7" width="11.880000114440918" hidden="0" customWidth="1"/>
    <x:col min="8" max="8" width="11.880000114440918" hidden="0" customWidth="1"/>
    <x:col min="9" max="9" width="11.880000114440918" hidden="0" customWidth="1"/>
    <x:col min="10" max="10" width="11.880000114440918" hidden="0" customWidth="1"/>
    <x:col min="11" max="11" width="11.880000114440918" hidden="0" customWidth="1"/>
    <x:col min="12" max="12" width="11.880000114440918" hidden="0" customWidth="1"/>
    <x:col min="13" max="13" width="11.880000114440918" hidden="0" customWidth="1"/>
  </x:cols>
  <x:sheetData>
    <x:row r="1" ht="25.5" customHeight="1">
      <x:c r="A1" s="41" t="str">
        <x:v>Лист 9. Cash Flow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</x:row>
    <x:row r="2" ht="22.5" customHeight="1">
      <x:c r="A2" s="43" t="str">
        <x:v>Денежный поток с учетом задержки доступности Stars до 21 дня.</x:v>
      </x:c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</x:row>
    <x:row r="3">
      <x:c r="A3" s="42"/>
      <x:c r="B3" s="42"/>
      <x:c r="C3" s="42"/>
      <x:c r="D3" s="42"/>
      <x:c r="E3" s="42"/>
      <x:c r="F3" s="42"/>
      <x:c r="G3" s="42"/>
      <x:c r="H3" s="42"/>
      <x:c r="I3" s="42"/>
      <x:c r="J3" s="42"/>
      <x:c r="K3" s="42"/>
      <x:c r="L3" s="42"/>
      <x:c r="M3" s="42"/>
    </x:row>
    <x:row r="4">
      <x:c r="A4" s="44" t="str">
        <x:v>Показатель</x:v>
      </x:c>
      <x:c r="B4" s="44" t="str">
        <x:v>М1</x:v>
      </x:c>
      <x:c r="C4" s="44" t="str">
        <x:v>М2</x:v>
      </x:c>
      <x:c r="D4" s="44" t="str">
        <x:v>М3</x:v>
      </x:c>
      <x:c r="E4" s="44" t="str">
        <x:v>М4</x:v>
      </x:c>
      <x:c r="F4" s="44" t="str">
        <x:v>М5</x:v>
      </x:c>
      <x:c r="G4" s="44" t="str">
        <x:v>М6</x:v>
      </x:c>
      <x:c r="H4" s="44" t="str">
        <x:v>М7</x:v>
      </x:c>
      <x:c r="I4" s="44" t="str">
        <x:v>М8</x:v>
      </x:c>
      <x:c r="J4" s="44" t="str">
        <x:v>М9</x:v>
      </x:c>
      <x:c r="K4" s="44" t="str">
        <x:v>М10</x:v>
      </x:c>
      <x:c r="L4" s="44" t="str">
        <x:v>М11</x:v>
      </x:c>
      <x:c r="M4" s="44" t="str">
        <x:v>М12</x:v>
      </x:c>
    </x:row>
    <x:row r="5">
      <x:c r="A5" s="45" t="str">
        <x:v>Opening Cash</x:v>
      </x:c>
      <x:c r="B5" s="54" t="n">
        <x:f>0</x:f>
        <x:v>0</x:v>
      </x:c>
      <x:c r="C5" s="54" t="n">
        <x:f>B10</x:f>
        <x:v>-69087.34231297</x:v>
      </x:c>
      <x:c r="D5" s="54" t="n">
        <x:f>C10</x:f>
        <x:v>-160258.24939272</x:v>
      </x:c>
      <x:c r="E5" s="54" t="n">
        <x:f>D10</x:f>
        <x:v>-274715.17799846</x:v>
      </x:c>
      <x:c r="F5" s="54" t="n">
        <x:f>E10</x:f>
        <x:v>-422566.31757475005</x:v>
      </x:c>
      <x:c r="G5" s="54" t="n">
        <x:f>F10</x:f>
        <x:v>-599891.2023525051</x:v>
      </x:c>
      <x:c r="H5" s="54" t="n">
        <x:f>G10</x:f>
        <x:v>-809678.169325225</x:v>
      </x:c>
      <x:c r="I5" s="54" t="n">
        <x:f>H10</x:f>
        <x:v>-1046067.485404805</x:v>
      </x:c>
      <x:c r="J5" s="54" t="n">
        <x:f>I10</x:f>
        <x:v>-1306834.80193579</x:v>
      </x:c>
      <x:c r="K5" s="54" t="n">
        <x:f>J10</x:f>
        <x:v>-1581129.290644655</x:v>
      </x:c>
      <x:c r="L5" s="54" t="n">
        <x:f>K10</x:f>
        <x:v>-1857911.9809682951</x:v>
      </x:c>
      <x:c r="M5" s="54" t="n">
        <x:f>L10</x:f>
        <x:v>-2122883.319520465</x:v>
      </x:c>
    </x:row>
    <x:row r="6">
      <x:c r="A6" s="45" t="str">
        <x:v>Accrual Revenue</x:v>
      </x:c>
      <x:c r="B6" s="54" t="n">
        <x:f>'Доходы'!B17</x:f>
        <x:v>397.203534</x:v>
      </x:c>
      <x:c r="C6" s="54" t="n">
        <x:f>'Доходы'!C17</x:f>
        <x:v>993.0088350000001</x:v>
      </x:c>
      <x:c r="D6" s="54" t="n">
        <x:f>'Доходы'!D17</x:f>
        <x:v>2780.424738</x:v>
      </x:c>
      <x:c r="E6" s="54" t="n">
        <x:f>'Доходы'!E17</x:f>
        <x:v>6255.955660500002</x:v>
      </x:c>
      <x:c r="F6" s="54" t="n">
        <x:f>'Доходы'!F17</x:f>
        <x:v>13504.920156000002</x:v>
      </x:c>
      <x:c r="G6" s="54" t="n">
        <x:f>'Доходы'!G17</x:f>
        <x:v>27208.442079000004</x:v>
      </x:c>
      <x:c r="H6" s="54" t="n">
        <x:f>'Доходы'!H17</x:f>
        <x:v>49749.742633500005</x:v>
      </x:c>
      <x:c r="I6" s="54" t="n">
        <x:f>'Доходы'!I17</x:f>
        <x:v>87086.8748295</x:v>
      </x:c>
      <x:c r="J6" s="54" t="n">
        <x:f>'Доходы'!J17</x:f>
        <x:v>140808.652803</x:v>
      </x:c>
      <x:c r="K6" s="54" t="n">
        <x:f>'Доходы'!K17</x:f>
        <x:v>219256.35076799997</x:v>
      </x:c>
      <x:c r="L6" s="54" t="n">
        <x:f>'Доходы'!L17</x:f>
        <x:v>322132.06607400003</x:v>
      </x:c>
      <x:c r="M6" s="54" t="n">
        <x:f>'Доходы'!M17</x:f>
        <x:v>450627.409323</x:v>
      </x:c>
    </x:row>
    <x:row r="7">
      <x:c r="A7" s="45" t="str">
        <x:v>Cash receipts после 21-day hold</x:v>
      </x:c>
      <x:c r="B7" s="54" t="n">
        <x:f>B6*25%</x:f>
        <x:v>99.3008835</x:v>
      </x:c>
      <x:c r="C7" s="54" t="n">
        <x:f>C6*25%+B6*75%</x:f>
        <x:v>546.1548592500001</x:v>
      </x:c>
      <x:c r="D7" s="54" t="n">
        <x:f>D6*25%+C6*75%</x:f>
        <x:v>1439.86281075</x:v>
      </x:c>
      <x:c r="E7" s="54" t="n">
        <x:f>E6*25%+D6*75%</x:f>
        <x:v>3649.3074686250006</x:v>
      </x:c>
      <x:c r="F7" s="54" t="n">
        <x:f>F6*25%+E6*75%</x:f>
        <x:v>8068.196784375001</x:v>
      </x:c>
      <x:c r="G7" s="54" t="n">
        <x:f>G6*25%+F6*75%</x:f>
        <x:v>16930.800636750002</x:v>
      </x:c>
      <x:c r="H7" s="54" t="n">
        <x:f>H6*25%+G6*75%</x:f>
        <x:v>32843.767217625005</x:v>
      </x:c>
      <x:c r="I7" s="54" t="n">
        <x:f>I6*25%+H6*75%</x:f>
        <x:v>59084.025682499996</x:v>
      </x:c>
      <x:c r="J7" s="54" t="n">
        <x:f>J6*25%+I6*75%</x:f>
        <x:v>100517.319322875</x:v>
      </x:c>
      <x:c r="K7" s="54" t="n">
        <x:f>K6*25%+J6*75%</x:f>
        <x:v>160420.57729425</x:v>
      </x:c>
      <x:c r="L7" s="54" t="n">
        <x:f>L6*25%+K6*75%</x:f>
        <x:v>244975.27959449997</x:v>
      </x:c>
      <x:c r="M7" s="54" t="n">
        <x:f>M6*25%+L6*75%</x:f>
        <x:v>354255.90188625</x:v>
      </x:c>
    </x:row>
    <x:row r="8">
      <x:c r="A8" s="45" t="str">
        <x:v>Cash expenses</x:v>
      </x:c>
      <x:c r="B8" s="54" t="n">
        <x:f>'Расходы'!B25</x:f>
        <x:v>69186.64319646999</x:v>
      </x:c>
      <x:c r="C8" s="54" t="n">
        <x:f>'Расходы'!C25</x:f>
        <x:v>91717.06193899999</x:v>
      </x:c>
      <x:c r="D8" s="54" t="n">
        <x:f>'Расходы'!D25</x:f>
        <x:v>115896.79141649</x:v>
      </x:c>
      <x:c r="E8" s="54" t="n">
        <x:f>'Расходы'!E25</x:f>
        <x:v>151500.447044915</x:v>
      </x:c>
      <x:c r="F8" s="54" t="n">
        <x:f>'Расходы'!F25</x:f>
        <x:v>185393.08156212998</x:v>
      </x:c>
      <x:c r="G8" s="54" t="n">
        <x:f>'Расходы'!G25</x:f>
        <x:v>226717.76760946997</x:v>
      </x:c>
      <x:c r="H8" s="54" t="n">
        <x:f>'Расходы'!H25</x:f>
        <x:v>269233.08329720504</x:v>
      </x:c>
      <x:c r="I8" s="54" t="n">
        <x:f>'Расходы'!I25</x:f>
        <x:v>319851.34221348504</x:v>
      </x:c>
      <x:c r="J8" s="54" t="n">
        <x:f>'Расходы'!J25</x:f>
        <x:v>374811.80803173996</x:v>
      </x:c>
      <x:c r="K8" s="54" t="n">
        <x:f>'Расходы'!K25</x:f>
        <x:v>437203.26761789</x:v>
      </x:c>
      <x:c r="L8" s="54" t="n">
        <x:f>'Расходы'!L25</x:f>
        <x:v>509946.61814667</x:v>
      </x:c>
      <x:c r="M8" s="54" t="n">
        <x:f>'Расходы'!M25</x:f>
        <x:v>607143.99908234</x:v>
      </x:c>
    </x:row>
    <x:row r="9">
      <x:c r="A9" s="45" t="str">
        <x:v>Net Operating Cash Flow</x:v>
      </x:c>
      <x:c r="B9" s="54" t="n">
        <x:f>B7-B8</x:f>
        <x:v>-69087.34231297</x:v>
      </x:c>
      <x:c r="C9" s="54" t="n">
        <x:f>C7-C8</x:f>
        <x:v>-91170.90707974999</x:v>
      </x:c>
      <x:c r="D9" s="54" t="n">
        <x:f>D7-D8</x:f>
        <x:v>-114456.92860574</x:v>
      </x:c>
      <x:c r="E9" s="54" t="n">
        <x:f>E7-E8</x:f>
        <x:v>-147851.13957629</x:v>
      </x:c>
      <x:c r="F9" s="54" t="n">
        <x:f>F7-F8</x:f>
        <x:v>-177324.88477775498</x:v>
      </x:c>
      <x:c r="G9" s="54" t="n">
        <x:f>G7-G8</x:f>
        <x:v>-209786.96697271997</x:v>
      </x:c>
      <x:c r="H9" s="54" t="n">
        <x:f>H7-H8</x:f>
        <x:v>-236389.31607958005</x:v>
      </x:c>
      <x:c r="I9" s="54" t="n">
        <x:f>I7-I8</x:f>
        <x:v>-260767.31653098506</x:v>
      </x:c>
      <x:c r="J9" s="54" t="n">
        <x:f>J7-J8</x:f>
        <x:v>-274294.48870886496</x:v>
      </x:c>
      <x:c r="K9" s="54" t="n">
        <x:f>K7-K8</x:f>
        <x:v>-276782.69032364</x:v>
      </x:c>
      <x:c r="L9" s="54" t="n">
        <x:f>L7-L8</x:f>
        <x:v>-264971.33855217</x:v>
      </x:c>
      <x:c r="M9" s="54" t="n">
        <x:f>M7-M8</x:f>
        <x:v>-252888.09719609004</x:v>
      </x:c>
    </x:row>
    <x:row r="10">
      <x:c r="A10" s="45" t="str">
        <x:v>Closing Cash</x:v>
      </x:c>
      <x:c r="B10" s="54" t="n">
        <x:f>B5+B9</x:f>
        <x:v>-69087.34231297</x:v>
      </x:c>
      <x:c r="C10" s="54" t="n">
        <x:f>C5+C9</x:f>
        <x:v>-160258.24939272</x:v>
      </x:c>
      <x:c r="D10" s="54" t="n">
        <x:f>D5+D9</x:f>
        <x:v>-274715.17799846</x:v>
      </x:c>
      <x:c r="E10" s="54" t="n">
        <x:f>E5+E9</x:f>
        <x:v>-422566.31757475005</x:v>
      </x:c>
      <x:c r="F10" s="54" t="n">
        <x:f>F5+F9</x:f>
        <x:v>-599891.2023525051</x:v>
      </x:c>
      <x:c r="G10" s="54" t="n">
        <x:f>G5+G9</x:f>
        <x:v>-809678.169325225</x:v>
      </x:c>
      <x:c r="H10" s="54" t="n">
        <x:f>H5+H9</x:f>
        <x:v>-1046067.485404805</x:v>
      </x:c>
      <x:c r="I10" s="54" t="n">
        <x:f>I5+I9</x:f>
        <x:v>-1306834.80193579</x:v>
      </x:c>
      <x:c r="J10" s="54" t="n">
        <x:f>J5+J9</x:f>
        <x:v>-1581129.290644655</x:v>
      </x:c>
      <x:c r="K10" s="54" t="n">
        <x:f>K5+K9</x:f>
        <x:v>-1857911.9809682951</x:v>
      </x:c>
      <x:c r="L10" s="54" t="n">
        <x:f>L5+L9</x:f>
        <x:v>-2122883.319520465</x:v>
      </x:c>
      <x:c r="M10" s="54" t="n">
        <x:f>M5+M9</x:f>
        <x:v>-2375771.416716555</x:v>
      </x:c>
    </x:row>
    <x:row r="11">
      <x:c r="A11" s="45" t="str">
        <x:v>Funding Gap</x:v>
      </x:c>
      <x:c r="B11" s="54" t="n">
        <x:f>MIN(0,B10)</x:f>
        <x:v>-69087.34231297</x:v>
      </x:c>
      <x:c r="C11" s="54" t="n">
        <x:f>MIN(0,C10)</x:f>
        <x:v>-160258.24939272</x:v>
      </x:c>
      <x:c r="D11" s="54" t="n">
        <x:f>MIN(0,D10)</x:f>
        <x:v>-274715.17799846</x:v>
      </x:c>
      <x:c r="E11" s="54" t="n">
        <x:f>MIN(0,E10)</x:f>
        <x:v>-422566.31757475005</x:v>
      </x:c>
      <x:c r="F11" s="54" t="n">
        <x:f>MIN(0,F10)</x:f>
        <x:v>-599891.2023525051</x:v>
      </x:c>
      <x:c r="G11" s="54" t="n">
        <x:f>MIN(0,G10)</x:f>
        <x:v>-809678.169325225</x:v>
      </x:c>
      <x:c r="H11" s="54" t="n">
        <x:f>MIN(0,H10)</x:f>
        <x:v>-1046067.485404805</x:v>
      </x:c>
      <x:c r="I11" s="54" t="n">
        <x:f>MIN(0,I10)</x:f>
        <x:v>-1306834.80193579</x:v>
      </x:c>
      <x:c r="J11" s="54" t="n">
        <x:f>MIN(0,J10)</x:f>
        <x:v>-1581129.290644655</x:v>
      </x:c>
      <x:c r="K11" s="54" t="n">
        <x:f>MIN(0,K10)</x:f>
        <x:v>-1857911.9809682951</x:v>
      </x:c>
      <x:c r="L11" s="54" t="n">
        <x:f>MIN(0,L10)</x:f>
        <x:v>-2122883.319520465</x:v>
      </x:c>
      <x:c r="M11" s="54" t="n">
        <x:f>MIN(0,M10)</x:f>
        <x:v>-2375771.416716555</x:v>
      </x:c>
    </x:row>
    <x:row r="12">
      <x:c r="A12" s="45" t="str">
        <x:v>Cash Flow Status</x:v>
      </x:c>
      <x:c r="B12" s="65" t="str">
        <x:f>IF(B10&gt;=0,"OK","Нужен запас")</x:f>
        <x:v>Нужен запас</x:v>
      </x:c>
      <x:c r="C12" s="65" t="str">
        <x:f>IF(C10&gt;=0,"OK","Нужен запас")</x:f>
        <x:v>Нужен запас</x:v>
      </x:c>
      <x:c r="D12" s="65" t="str">
        <x:f>IF(D10&gt;=0,"OK","Нужен запас")</x:f>
        <x:v>Нужен запас</x:v>
      </x:c>
      <x:c r="E12" s="65" t="str">
        <x:f>IF(E10&gt;=0,"OK","Нужен запас")</x:f>
        <x:v>Нужен запас</x:v>
      </x:c>
      <x:c r="F12" s="65" t="str">
        <x:f>IF(F10&gt;=0,"OK","Нужен запас")</x:f>
        <x:v>Нужен запас</x:v>
      </x:c>
      <x:c r="G12" s="65" t="str">
        <x:f>IF(G10&gt;=0,"OK","Нужен запас")</x:f>
        <x:v>Нужен запас</x:v>
      </x:c>
      <x:c r="H12" s="65" t="str">
        <x:f>IF(H10&gt;=0,"OK","Нужен запас")</x:f>
        <x:v>Нужен запас</x:v>
      </x:c>
      <x:c r="I12" s="65" t="str">
        <x:f>IF(I10&gt;=0,"OK","Нужен запас")</x:f>
        <x:v>Нужен запас</x:v>
      </x:c>
      <x:c r="J12" s="65" t="str">
        <x:f>IF(J10&gt;=0,"OK","Нужен запас")</x:f>
        <x:v>Нужен запас</x:v>
      </x:c>
      <x:c r="K12" s="65" t="str">
        <x:f>IF(K10&gt;=0,"OK","Нужен запас")</x:f>
        <x:v>Нужен запас</x:v>
      </x:c>
      <x:c r="L12" s="65" t="str">
        <x:f>IF(L10&gt;=0,"OK","Нужен запас")</x:f>
        <x:v>Нужен запас</x:v>
      </x:c>
      <x:c r="M12" s="65" t="str">
        <x:f>IF(M10&gt;=0,"OK","Нужен запас")</x:f>
        <x:v>Нужен запас</x:v>
      </x:c>
    </x:row>
    <x:row r="13">
      <x:c r="A13" s="42"/>
      <x:c r="B13" s="42"/>
      <x:c r="C13" s="42"/>
      <x:c r="D13" s="42"/>
      <x:c r="E13" s="42"/>
      <x:c r="F13" s="42"/>
      <x:c r="G13" s="42"/>
      <x:c r="H13" s="42"/>
      <x:c r="I13" s="42"/>
      <x:c r="J13" s="42"/>
      <x:c r="K13" s="42"/>
      <x:c r="L13" s="42"/>
      <x:c r="M13" s="42"/>
    </x:row>
    <x:row r="14">
      <x:c r="A14" s="42"/>
      <x:c r="B14" s="42"/>
      <x:c r="C14" s="42"/>
      <x:c r="D14" s="42"/>
      <x:c r="E14" s="42"/>
      <x:c r="F14" s="42"/>
      <x:c r="G14" s="42"/>
      <x:c r="H14" s="42"/>
      <x:c r="I14" s="42"/>
      <x:c r="J14" s="42"/>
      <x:c r="K14" s="42"/>
      <x:c r="L14" s="42"/>
      <x:c r="M14" s="42"/>
    </x:row>
    <x:row r="15">
      <x:c r="A15" s="42"/>
      <x:c r="B15" s="42"/>
      <x:c r="C15" s="42"/>
      <x:c r="D15" s="42"/>
      <x:c r="E15" s="42"/>
      <x:c r="F15" s="42"/>
      <x:c r="G15" s="42"/>
      <x:c r="H15" s="42"/>
      <x:c r="I15" s="42"/>
      <x:c r="J15" s="42"/>
      <x:c r="K15" s="42"/>
      <x:c r="L15" s="42"/>
      <x:c r="M15" s="42"/>
    </x:row>
    <x:row r="16">
      <x:c r="A16" s="42"/>
      <x:c r="B16" s="42"/>
      <x:c r="C16" s="42"/>
      <x:c r="D16" s="42"/>
      <x:c r="E16" s="42"/>
      <x:c r="F16" s="42"/>
      <x:c r="G16" s="42"/>
      <x:c r="H16" s="42"/>
      <x:c r="I16" s="42"/>
      <x:c r="J16" s="42"/>
      <x:c r="K16" s="42"/>
      <x:c r="L16" s="42"/>
      <x:c r="M16" s="42"/>
    </x:row>
    <x:row r="17">
      <x:c r="A17" s="42"/>
      <x:c r="B17" s="42"/>
      <x:c r="C17" s="42"/>
      <x:c r="D17" s="42"/>
      <x:c r="E17" s="42"/>
      <x:c r="F17" s="42"/>
      <x:c r="G17" s="42"/>
      <x:c r="H17" s="42"/>
      <x:c r="I17" s="42"/>
      <x:c r="J17" s="42"/>
      <x:c r="K17" s="42"/>
      <x:c r="L17" s="42"/>
      <x:c r="M17" s="42"/>
    </x:row>
    <x:row r="18">
      <x:c r="A18" s="42"/>
      <x:c r="B18" s="42"/>
      <x:c r="C18" s="42"/>
      <x:c r="D18" s="42"/>
      <x:c r="E18" s="42"/>
      <x:c r="F18" s="42"/>
      <x:c r="G18" s="42"/>
      <x:c r="H18" s="42"/>
      <x:c r="I18" s="42"/>
      <x:c r="J18" s="42"/>
      <x:c r="K18" s="42"/>
      <x:c r="L18" s="42"/>
      <x:c r="M18" s="42"/>
    </x:row>
    <x:row r="19">
      <x:c r="A19" s="42"/>
      <x:c r="B19" s="42"/>
      <x:c r="C19" s="42"/>
      <x:c r="D19" s="42"/>
      <x:c r="E19" s="42"/>
      <x:c r="F19" s="42"/>
      <x:c r="G19" s="42"/>
      <x:c r="H19" s="42"/>
      <x:c r="I19" s="42"/>
      <x:c r="J19" s="42"/>
      <x:c r="K19" s="42"/>
      <x:c r="L19" s="42"/>
      <x:c r="M19" s="42"/>
    </x:row>
    <x:row r="20">
      <x:c r="A20" s="42"/>
      <x:c r="B20" s="42"/>
      <x:c r="C20" s="42"/>
      <x:c r="D20" s="42"/>
      <x:c r="E20" s="42"/>
      <x:c r="F20" s="42"/>
      <x:c r="G20" s="42"/>
      <x:c r="H20" s="42"/>
      <x:c r="I20" s="42"/>
      <x:c r="J20" s="42"/>
      <x:c r="K20" s="42"/>
      <x:c r="L20" s="42"/>
      <x:c r="M20" s="42"/>
    </x:row>
    <x:row r="21">
      <x:c r="A21" s="42"/>
      <x:c r="B21" s="42"/>
      <x:c r="C21" s="42"/>
      <x:c r="D21" s="42"/>
      <x:c r="E21" s="42"/>
      <x:c r="F21" s="42"/>
      <x:c r="G21" s="42"/>
      <x:c r="H21" s="42"/>
      <x:c r="I21" s="42"/>
      <x:c r="J21" s="42"/>
      <x:c r="K21" s="42"/>
      <x:c r="L21" s="42"/>
      <x:c r="M21" s="42"/>
    </x:row>
    <x:row r="22">
      <x:c r="A22" s="42"/>
      <x:c r="B22" s="42"/>
      <x:c r="C22" s="42"/>
      <x:c r="D22" s="42"/>
      <x:c r="E22" s="42"/>
      <x:c r="F22" s="42"/>
      <x:c r="G22" s="42"/>
      <x:c r="H22" s="42"/>
      <x:c r="I22" s="42"/>
      <x:c r="J22" s="42"/>
      <x:c r="K22" s="42"/>
      <x:c r="L22" s="42"/>
      <x:c r="M22" s="42"/>
    </x:row>
    <x:row r="23">
      <x:c r="A23" s="42"/>
      <x:c r="B23" s="42"/>
      <x:c r="C23" s="42"/>
      <x:c r="D23" s="42"/>
      <x:c r="E23" s="42"/>
      <x:c r="F23" s="42"/>
      <x:c r="G23" s="42"/>
      <x:c r="H23" s="42"/>
      <x:c r="I23" s="42"/>
      <x:c r="J23" s="42"/>
      <x:c r="K23" s="42"/>
      <x:c r="L23" s="42"/>
      <x:c r="M23" s="42"/>
    </x:row>
    <x:row r="24">
      <x:c r="A24" s="42"/>
      <x:c r="B24" s="42"/>
      <x:c r="C24" s="42"/>
      <x:c r="D24" s="42"/>
      <x:c r="E24" s="42"/>
      <x:c r="F24" s="42"/>
      <x:c r="G24" s="42"/>
      <x:c r="H24" s="42"/>
      <x:c r="I24" s="42"/>
      <x:c r="J24" s="42"/>
      <x:c r="K24" s="42"/>
      <x:c r="L24" s="42"/>
      <x:c r="M24" s="42"/>
    </x:row>
    <x:row r="25">
      <x:c r="A25" s="42"/>
      <x:c r="B25" s="42"/>
      <x:c r="C25" s="42"/>
      <x:c r="D25" s="42"/>
      <x:c r="E25" s="42"/>
      <x:c r="F25" s="42"/>
      <x:c r="G25" s="42"/>
      <x:c r="H25" s="42"/>
      <x:c r="I25" s="42"/>
      <x:c r="J25" s="42"/>
      <x:c r="K25" s="42"/>
      <x:c r="L25" s="42"/>
      <x:c r="M25" s="42"/>
    </x:row>
    <x:row r="26">
      <x:c r="A26" s="42"/>
      <x:c r="B26" s="42"/>
      <x:c r="C26" s="42"/>
      <x:c r="D26" s="42"/>
      <x:c r="E26" s="42"/>
      <x:c r="F26" s="42"/>
      <x:c r="G26" s="42"/>
      <x:c r="H26" s="42"/>
      <x:c r="I26" s="42"/>
      <x:c r="J26" s="42"/>
      <x:c r="K26" s="42"/>
      <x:c r="L26" s="42"/>
      <x:c r="M26" s="42"/>
    </x:row>
    <x:row r="27">
      <x:c r="A27" s="42"/>
      <x:c r="B27" s="42"/>
      <x:c r="C27" s="42"/>
      <x:c r="D27" s="42"/>
      <x:c r="E27" s="42"/>
      <x:c r="F27" s="42"/>
      <x:c r="G27" s="42"/>
      <x:c r="H27" s="42"/>
      <x:c r="I27" s="42"/>
      <x:c r="J27" s="42"/>
      <x:c r="K27" s="42"/>
      <x:c r="L27" s="42"/>
      <x:c r="M27" s="42"/>
    </x:row>
    <x:row r="28">
      <x:c r="A28" s="42"/>
      <x:c r="B28" s="42"/>
      <x:c r="C28" s="42"/>
      <x:c r="D28" s="42"/>
      <x:c r="E28" s="42"/>
      <x:c r="F28" s="42"/>
      <x:c r="G28" s="42"/>
      <x:c r="H28" s="42"/>
      <x:c r="I28" s="42"/>
      <x:c r="J28" s="42"/>
      <x:c r="K28" s="42"/>
      <x:c r="L28" s="42"/>
      <x:c r="M28" s="42"/>
    </x:row>
    <x:row r="29">
      <x:c r="A29" s="42"/>
      <x:c r="B29" s="42"/>
      <x:c r="C29" s="42"/>
      <x:c r="D29" s="42"/>
      <x:c r="E29" s="42"/>
      <x:c r="F29" s="42"/>
      <x:c r="G29" s="42"/>
      <x:c r="H29" s="42"/>
      <x:c r="I29" s="42"/>
      <x:c r="J29" s="42"/>
      <x:c r="K29" s="42"/>
      <x:c r="L29" s="42"/>
      <x:c r="M29" s="42"/>
    </x:row>
    <x:row r="30">
      <x:c r="A30" s="42"/>
      <x:c r="B30" s="42"/>
      <x:c r="C30" s="42"/>
      <x:c r="D30" s="42"/>
      <x:c r="E30" s="42"/>
      <x:c r="F30" s="42"/>
      <x:c r="G30" s="42"/>
      <x:c r="H30" s="42"/>
      <x:c r="I30" s="42"/>
      <x:c r="J30" s="42"/>
      <x:c r="K30" s="42"/>
      <x:c r="L30" s="42"/>
      <x:c r="M30" s="42"/>
    </x:row>
    <x:row r="31">
      <x:c r="A31" s="42"/>
      <x:c r="B31" s="42"/>
      <x:c r="C31" s="42"/>
      <x:c r="D31" s="42"/>
      <x:c r="E31" s="42"/>
      <x:c r="F31" s="42"/>
      <x:c r="G31" s="42"/>
      <x:c r="H31" s="42"/>
      <x:c r="I31" s="42"/>
      <x:c r="J31" s="42"/>
      <x:c r="K31" s="42"/>
      <x:c r="L31" s="42"/>
      <x:c r="M31" s="42"/>
    </x:row>
    <x:row r="32">
      <x:c r="A32" s="42"/>
      <x:c r="B32" s="42"/>
      <x:c r="C32" s="42"/>
      <x:c r="D32" s="42"/>
      <x:c r="E32" s="42"/>
      <x:c r="F32" s="42"/>
      <x:c r="G32" s="42"/>
      <x:c r="H32" s="42"/>
      <x:c r="I32" s="42"/>
      <x:c r="J32" s="42"/>
      <x:c r="K32" s="42"/>
      <x:c r="L32" s="42"/>
      <x:c r="M32" s="42"/>
    </x:row>
    <x:row r="33">
      <x:c r="A33" s="42"/>
      <x:c r="B33" s="42"/>
      <x:c r="C33" s="42"/>
      <x:c r="D33" s="42"/>
      <x:c r="E33" s="42"/>
      <x:c r="F33" s="42"/>
      <x:c r="G33" s="42"/>
      <x:c r="H33" s="42"/>
      <x:c r="I33" s="42"/>
      <x:c r="J33" s="42"/>
      <x:c r="K33" s="42"/>
      <x:c r="L33" s="42"/>
      <x:c r="M33" s="42"/>
    </x:row>
    <x:row r="34">
      <x:c r="A34" s="42"/>
      <x:c r="B34" s="42"/>
      <x:c r="C34" s="42"/>
      <x:c r="D34" s="42"/>
      <x:c r="E34" s="42"/>
      <x:c r="F34" s="42"/>
      <x:c r="G34" s="42"/>
      <x:c r="H34" s="42"/>
      <x:c r="I34" s="42"/>
      <x:c r="J34" s="42"/>
      <x:c r="K34" s="42"/>
      <x:c r="L34" s="42"/>
      <x:c r="M34" s="42"/>
    </x:row>
    <x:row r="35">
      <x:c r="A35" s="42"/>
      <x:c r="B35" s="42"/>
      <x:c r="C35" s="42"/>
      <x:c r="D35" s="42"/>
      <x:c r="E35" s="42"/>
      <x:c r="F35" s="42"/>
      <x:c r="G35" s="42"/>
      <x:c r="H35" s="42"/>
      <x:c r="I35" s="42"/>
      <x:c r="J35" s="42"/>
      <x:c r="K35" s="42"/>
      <x:c r="L35" s="42"/>
      <x:c r="M35" s="42"/>
    </x:row>
    <x:row r="36">
      <x:c r="A36" s="42"/>
      <x:c r="B36" s="42"/>
      <x:c r="C36" s="42"/>
      <x:c r="D36" s="42"/>
      <x:c r="E36" s="42"/>
      <x:c r="F36" s="42"/>
      <x:c r="G36" s="42"/>
      <x:c r="H36" s="42"/>
      <x:c r="I36" s="42"/>
      <x:c r="J36" s="42"/>
      <x:c r="K36" s="42"/>
      <x:c r="L36" s="42"/>
      <x:c r="M36" s="42"/>
    </x:row>
    <x:row r="37">
      <x:c r="A37" s="42"/>
      <x:c r="B37" s="42"/>
      <x:c r="C37" s="42"/>
      <x:c r="D37" s="42"/>
      <x:c r="E37" s="42"/>
      <x:c r="F37" s="42"/>
      <x:c r="G37" s="42"/>
      <x:c r="H37" s="42"/>
      <x:c r="I37" s="42"/>
      <x:c r="J37" s="42"/>
      <x:c r="K37" s="42"/>
      <x:c r="L37" s="42"/>
      <x:c r="M37" s="42"/>
    </x:row>
    <x:row r="38">
      <x:c r="A38" s="42"/>
      <x:c r="B38" s="42"/>
      <x:c r="C38" s="42"/>
      <x:c r="D38" s="42"/>
      <x:c r="E38" s="42"/>
      <x:c r="F38" s="42"/>
      <x:c r="G38" s="42"/>
      <x:c r="H38" s="42"/>
      <x:c r="I38" s="42"/>
      <x:c r="J38" s="42"/>
      <x:c r="K38" s="42"/>
      <x:c r="L38" s="42"/>
      <x:c r="M38" s="42"/>
    </x:row>
    <x:row r="39">
      <x:c r="A39" s="42"/>
      <x:c r="B39" s="42"/>
      <x:c r="C39" s="42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</x:row>
    <x:row r="40">
      <x:c r="A40" s="42"/>
      <x:c r="B40" s="42"/>
      <x:c r="C40" s="42"/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</x:row>
    <x:row r="41">
      <x:c r="A41" s="42"/>
      <x:c r="B41" s="42"/>
      <x:c r="C41" s="42"/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</x:row>
    <x:row r="42">
      <x:c r="A42" s="42"/>
      <x:c r="B42" s="42"/>
      <x:c r="C42" s="42"/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</x:row>
    <x:row r="43">
      <x:c r="A43" s="42"/>
      <x:c r="B43" s="42"/>
      <x:c r="C43" s="42"/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</x:row>
    <x:row r="44">
      <x:c r="A44" s="42"/>
      <x:c r="B44" s="42"/>
      <x:c r="C44" s="42"/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</x:row>
    <x:row r="45">
      <x:c r="A45" s="42"/>
      <x:c r="B45" s="42"/>
      <x:c r="C45" s="42"/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</x:row>
    <x:row r="46">
      <x:c r="A46" s="42"/>
      <x:c r="B46" s="42"/>
      <x:c r="C46" s="42"/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</x:row>
    <x:row r="47">
      <x:c r="A47" s="42"/>
      <x:c r="B47" s="42"/>
      <x:c r="C47" s="42"/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</x:row>
    <x:row r="48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</x:row>
    <x:row r="49">
      <x:c r="A49" s="42"/>
      <x:c r="B49" s="42"/>
      <x:c r="C49" s="42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</x:row>
    <x:row r="50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</x:row>
    <x:row r="51">
      <x:c r="A51" s="42"/>
      <x:c r="B51" s="42"/>
      <x:c r="C51" s="42"/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</x:row>
    <x:row r="52">
      <x:c r="A52" s="42"/>
      <x:c r="B52" s="42"/>
      <x:c r="C52" s="42"/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</x:row>
    <x:row r="53">
      <x:c r="A53" s="42"/>
      <x:c r="B53" s="42"/>
      <x:c r="C53" s="42"/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</x:row>
    <x:row r="54">
      <x:c r="A54" s="42"/>
      <x:c r="B54" s="42"/>
      <x:c r="C54" s="42"/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</x:row>
    <x:row r="55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</x:row>
    <x:row r="56">
      <x:c r="A56" s="42"/>
      <x:c r="B56" s="42"/>
      <x:c r="C56" s="42"/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</x:row>
    <x:row r="57">
      <x:c r="A57" s="42"/>
      <x:c r="B57" s="42"/>
      <x:c r="C57" s="42"/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</x:row>
    <x:row r="58">
      <x:c r="A58" s="42"/>
      <x:c r="B58" s="42"/>
      <x:c r="C58" s="42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</x:row>
    <x:row r="59">
      <x:c r="A59" s="42"/>
      <x:c r="B59" s="42"/>
      <x:c r="C59" s="42"/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</x:row>
    <x:row r="60">
      <x:c r="A60" s="42"/>
      <x:c r="B60" s="42"/>
      <x:c r="C60" s="42"/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</x:row>
    <x:row r="61">
      <x:c r="A61" s="42"/>
      <x:c r="B61" s="42"/>
      <x:c r="C61" s="42"/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</x:row>
    <x:row r="62">
      <x:c r="A62" s="42"/>
      <x:c r="B62" s="42"/>
      <x:c r="C62" s="42"/>
      <x:c r="D62" s="42"/>
      <x:c r="E62" s="42"/>
      <x:c r="F62" s="42"/>
      <x:c r="G62" s="42"/>
      <x:c r="H62" s="42"/>
      <x:c r="I62" s="42"/>
      <x:c r="J62" s="42"/>
      <x:c r="K62" s="42"/>
      <x:c r="L62" s="42"/>
      <x:c r="M62" s="42"/>
    </x:row>
    <x:row r="63">
      <x:c r="A63" s="42"/>
      <x:c r="B63" s="42"/>
      <x:c r="C63" s="42"/>
      <x:c r="D63" s="42"/>
      <x:c r="E63" s="42"/>
      <x:c r="F63" s="42"/>
      <x:c r="G63" s="42"/>
      <x:c r="H63" s="42"/>
      <x:c r="I63" s="42"/>
      <x:c r="J63" s="42"/>
      <x:c r="K63" s="42"/>
      <x:c r="L63" s="42"/>
      <x:c r="M63" s="42"/>
    </x:row>
    <x:row r="64">
      <x:c r="A64" s="42"/>
      <x:c r="B64" s="42"/>
      <x:c r="C64" s="42"/>
      <x:c r="D64" s="42"/>
      <x:c r="E64" s="42"/>
      <x:c r="F64" s="42"/>
      <x:c r="G64" s="42"/>
      <x:c r="H64" s="42"/>
      <x:c r="I64" s="42"/>
      <x:c r="J64" s="42"/>
      <x:c r="K64" s="42"/>
      <x:c r="L64" s="42"/>
      <x:c r="M64" s="42"/>
    </x:row>
    <x:row r="65">
      <x:c r="A65" s="42"/>
      <x:c r="B65" s="42"/>
      <x:c r="C65" s="42"/>
      <x:c r="D65" s="42"/>
      <x:c r="E65" s="42"/>
      <x:c r="F65" s="42"/>
      <x:c r="G65" s="42"/>
      <x:c r="H65" s="42"/>
      <x:c r="I65" s="42"/>
      <x:c r="J65" s="42"/>
      <x:c r="K65" s="42"/>
      <x:c r="L65" s="42"/>
      <x:c r="M65" s="42"/>
    </x:row>
    <x:row r="66">
      <x:c r="A66" s="42"/>
      <x:c r="B66" s="42"/>
      <x:c r="C66" s="42"/>
      <x:c r="D66" s="42"/>
      <x:c r="E66" s="42"/>
      <x:c r="F66" s="42"/>
      <x:c r="G66" s="42"/>
      <x:c r="H66" s="42"/>
      <x:c r="I66" s="42"/>
      <x:c r="J66" s="42"/>
      <x:c r="K66" s="42"/>
      <x:c r="L66" s="42"/>
      <x:c r="M66" s="42"/>
    </x:row>
    <x:row r="67">
      <x:c r="A67" s="42"/>
      <x:c r="B67" s="42"/>
      <x:c r="C67" s="42"/>
      <x:c r="D67" s="42"/>
      <x:c r="E67" s="42"/>
      <x:c r="F67" s="42"/>
      <x:c r="G67" s="42"/>
      <x:c r="H67" s="42"/>
      <x:c r="I67" s="42"/>
      <x:c r="J67" s="42"/>
      <x:c r="K67" s="42"/>
      <x:c r="L67" s="42"/>
      <x:c r="M67" s="42"/>
    </x:row>
    <x:row r="68">
      <x:c r="A68" s="42"/>
      <x:c r="B68" s="42"/>
      <x:c r="C68" s="42"/>
      <x:c r="D68" s="42"/>
      <x:c r="E68" s="42"/>
      <x:c r="F68" s="42"/>
      <x:c r="G68" s="42"/>
      <x:c r="H68" s="42"/>
      <x:c r="I68" s="42"/>
      <x:c r="J68" s="42"/>
      <x:c r="K68" s="42"/>
      <x:c r="L68" s="42"/>
      <x:c r="M68" s="42"/>
    </x:row>
    <x:row r="69">
      <x:c r="A69" s="42"/>
      <x:c r="B69" s="42"/>
      <x:c r="C69" s="42"/>
      <x:c r="D69" s="42"/>
      <x:c r="E69" s="42"/>
      <x:c r="F69" s="42"/>
      <x:c r="G69" s="42"/>
      <x:c r="H69" s="42"/>
      <x:c r="I69" s="42"/>
      <x:c r="J69" s="42"/>
      <x:c r="K69" s="42"/>
      <x:c r="L69" s="42"/>
      <x:c r="M69" s="42"/>
    </x:row>
    <x:row r="70">
      <x:c r="A70" s="42"/>
      <x:c r="B70" s="42"/>
      <x:c r="C70" s="42"/>
      <x:c r="D70" s="42"/>
      <x:c r="E70" s="42"/>
      <x:c r="F70" s="42"/>
      <x:c r="G70" s="42"/>
      <x:c r="H70" s="42"/>
      <x:c r="I70" s="42"/>
      <x:c r="J70" s="42"/>
      <x:c r="K70" s="42"/>
      <x:c r="L70" s="42"/>
      <x:c r="M70" s="42"/>
    </x:row>
    <x:row r="71">
      <x:c r="A71" s="42"/>
      <x:c r="B71" s="42"/>
      <x:c r="C71" s="42"/>
      <x:c r="D71" s="42"/>
      <x:c r="E71" s="42"/>
      <x:c r="F71" s="42"/>
      <x:c r="G71" s="42"/>
      <x:c r="H71" s="42"/>
      <x:c r="I71" s="42"/>
      <x:c r="J71" s="42"/>
      <x:c r="K71" s="42"/>
      <x:c r="L71" s="42"/>
      <x:c r="M71" s="42"/>
    </x:row>
    <x:row r="72">
      <x:c r="A72" s="42"/>
      <x:c r="B72" s="42"/>
      <x:c r="C72" s="42"/>
      <x:c r="D72" s="42"/>
      <x:c r="E72" s="42"/>
      <x:c r="F72" s="42"/>
      <x:c r="G72" s="42"/>
      <x:c r="H72" s="42"/>
      <x:c r="I72" s="42"/>
      <x:c r="J72" s="42"/>
      <x:c r="K72" s="42"/>
      <x:c r="L72" s="42"/>
      <x:c r="M72" s="42"/>
    </x:row>
    <x:row r="73">
      <x:c r="A73" s="42"/>
      <x:c r="B73" s="42"/>
      <x:c r="C73" s="42"/>
      <x:c r="D73" s="42"/>
      <x:c r="E73" s="42"/>
      <x:c r="F73" s="42"/>
      <x:c r="G73" s="42"/>
      <x:c r="H73" s="42"/>
      <x:c r="I73" s="42"/>
      <x:c r="J73" s="42"/>
      <x:c r="K73" s="42"/>
      <x:c r="L73" s="42"/>
      <x:c r="M73" s="42"/>
    </x:row>
    <x:row r="74">
      <x:c r="A74" s="42"/>
      <x:c r="B74" s="42"/>
      <x:c r="C74" s="42"/>
      <x:c r="D74" s="42"/>
      <x:c r="E74" s="42"/>
      <x:c r="F74" s="42"/>
      <x:c r="G74" s="42"/>
      <x:c r="H74" s="42"/>
      <x:c r="I74" s="42"/>
      <x:c r="J74" s="42"/>
      <x:c r="K74" s="42"/>
      <x:c r="L74" s="42"/>
      <x:c r="M74" s="42"/>
    </x:row>
    <x:row r="75">
      <x:c r="A75" s="42"/>
      <x:c r="B75" s="42"/>
      <x:c r="C75" s="42"/>
      <x:c r="D75" s="42"/>
      <x:c r="E75" s="42"/>
      <x:c r="F75" s="42"/>
      <x:c r="G75" s="42"/>
      <x:c r="H75" s="42"/>
      <x:c r="I75" s="42"/>
      <x:c r="J75" s="42"/>
      <x:c r="K75" s="42"/>
      <x:c r="L75" s="42"/>
      <x:c r="M75" s="42"/>
    </x:row>
    <x:row r="76">
      <x:c r="A76" s="42"/>
      <x:c r="B76" s="42"/>
      <x:c r="C76" s="42"/>
      <x:c r="D76" s="42"/>
      <x:c r="E76" s="42"/>
      <x:c r="F76" s="42"/>
      <x:c r="G76" s="42"/>
      <x:c r="H76" s="42"/>
      <x:c r="I76" s="42"/>
      <x:c r="J76" s="42"/>
      <x:c r="K76" s="42"/>
      <x:c r="L76" s="42"/>
      <x:c r="M76" s="42"/>
    </x:row>
    <x:row r="77">
      <x:c r="A77" s="42"/>
      <x:c r="B77" s="42"/>
      <x:c r="C77" s="42"/>
      <x:c r="D77" s="42"/>
      <x:c r="E77" s="42"/>
      <x:c r="F77" s="42"/>
      <x:c r="G77" s="42"/>
      <x:c r="H77" s="42"/>
      <x:c r="I77" s="42"/>
      <x:c r="J77" s="42"/>
      <x:c r="K77" s="42"/>
      <x:c r="L77" s="42"/>
      <x:c r="M77" s="42"/>
    </x:row>
    <x:row r="78">
      <x:c r="A78" s="42"/>
      <x:c r="B78" s="42"/>
      <x:c r="C78" s="42"/>
      <x:c r="D78" s="42"/>
      <x:c r="E78" s="42"/>
      <x:c r="F78" s="42"/>
      <x:c r="G78" s="42"/>
      <x:c r="H78" s="42"/>
      <x:c r="I78" s="42"/>
      <x:c r="J78" s="42"/>
      <x:c r="K78" s="42"/>
      <x:c r="L78" s="42"/>
      <x:c r="M78" s="42"/>
    </x:row>
    <x:row r="79">
      <x:c r="A79" s="42"/>
      <x:c r="B79" s="42"/>
      <x:c r="C79" s="42"/>
      <x:c r="D79" s="42"/>
      <x:c r="E79" s="42"/>
      <x:c r="F79" s="42"/>
      <x:c r="G79" s="42"/>
      <x:c r="H79" s="42"/>
      <x:c r="I79" s="42"/>
      <x:c r="J79" s="42"/>
      <x:c r="K79" s="42"/>
      <x:c r="L79" s="42"/>
      <x:c r="M79" s="42"/>
    </x:row>
    <x:row r="80">
      <x:c r="A80" s="42"/>
      <x:c r="B80" s="42"/>
      <x:c r="C80" s="42"/>
      <x:c r="D80" s="42"/>
      <x:c r="E80" s="42"/>
      <x:c r="F80" s="42"/>
      <x:c r="G80" s="42"/>
      <x:c r="H80" s="42"/>
      <x:c r="I80" s="42"/>
      <x:c r="J80" s="42"/>
      <x:c r="K80" s="42"/>
      <x:c r="L80" s="42"/>
      <x:c r="M80" s="42"/>
    </x:row>
    <x:row r="81">
      <x:c r="A81" s="42"/>
      <x:c r="B81" s="42"/>
      <x:c r="C81" s="42"/>
      <x:c r="D81" s="42"/>
      <x:c r="E81" s="42"/>
      <x:c r="F81" s="42"/>
      <x:c r="G81" s="42"/>
      <x:c r="H81" s="42"/>
      <x:c r="I81" s="42"/>
      <x:c r="J81" s="42"/>
      <x:c r="K81" s="42"/>
      <x:c r="L81" s="42"/>
      <x:c r="M81" s="42"/>
    </x:row>
    <x:row r="82">
      <x:c r="A82" s="42"/>
      <x:c r="B82" s="42"/>
      <x:c r="C82" s="42"/>
      <x:c r="D82" s="42"/>
      <x:c r="E82" s="42"/>
      <x:c r="F82" s="42"/>
      <x:c r="G82" s="42"/>
      <x:c r="H82" s="42"/>
      <x:c r="I82" s="42"/>
      <x:c r="J82" s="42"/>
      <x:c r="K82" s="42"/>
      <x:c r="L82" s="42"/>
      <x:c r="M82" s="42"/>
    </x:row>
    <x:row r="83">
      <x:c r="A83" s="42"/>
      <x:c r="B83" s="42"/>
      <x:c r="C83" s="42"/>
      <x:c r="D83" s="42"/>
      <x:c r="E83" s="42"/>
      <x:c r="F83" s="42"/>
      <x:c r="G83" s="42"/>
      <x:c r="H83" s="42"/>
      <x:c r="I83" s="42"/>
      <x:c r="J83" s="42"/>
      <x:c r="K83" s="42"/>
      <x:c r="L83" s="42"/>
      <x:c r="M83" s="42"/>
    </x:row>
    <x:row r="84">
      <x:c r="A84" s="42"/>
      <x:c r="B84" s="42"/>
      <x:c r="C84" s="42"/>
      <x:c r="D84" s="42"/>
      <x:c r="E84" s="42"/>
      <x:c r="F84" s="42"/>
      <x:c r="G84" s="42"/>
      <x:c r="H84" s="42"/>
      <x:c r="I84" s="42"/>
      <x:c r="J84" s="42"/>
      <x:c r="K84" s="42"/>
      <x:c r="L84" s="42"/>
      <x:c r="M84" s="42"/>
    </x:row>
    <x:row r="85">
      <x:c r="A85" s="42"/>
      <x:c r="B85" s="42"/>
      <x:c r="C85" s="42"/>
      <x:c r="D85" s="42"/>
      <x:c r="E85" s="42"/>
      <x:c r="F85" s="42"/>
      <x:c r="G85" s="42"/>
      <x:c r="H85" s="42"/>
      <x:c r="I85" s="42"/>
      <x:c r="J85" s="42"/>
      <x:c r="K85" s="42"/>
      <x:c r="L85" s="42"/>
      <x:c r="M85" s="42"/>
    </x:row>
    <x:row r="86">
      <x:c r="A86" s="42"/>
      <x:c r="B86" s="42"/>
      <x:c r="C86" s="42"/>
      <x:c r="D86" s="42"/>
      <x:c r="E86" s="42"/>
      <x:c r="F86" s="42"/>
      <x:c r="G86" s="42"/>
      <x:c r="H86" s="42"/>
      <x:c r="I86" s="42"/>
      <x:c r="J86" s="42"/>
      <x:c r="K86" s="42"/>
      <x:c r="L86" s="42"/>
      <x:c r="M86" s="42"/>
    </x:row>
    <x:row r="87">
      <x:c r="A87" s="42"/>
      <x:c r="B87" s="42"/>
      <x:c r="C87" s="42"/>
      <x:c r="D87" s="42"/>
      <x:c r="E87" s="42"/>
      <x:c r="F87" s="42"/>
      <x:c r="G87" s="42"/>
      <x:c r="H87" s="42"/>
      <x:c r="I87" s="42"/>
      <x:c r="J87" s="42"/>
      <x:c r="K87" s="42"/>
      <x:c r="L87" s="42"/>
      <x:c r="M87" s="42"/>
    </x:row>
    <x:row r="88">
      <x:c r="A88" s="42"/>
      <x:c r="B88" s="42"/>
      <x:c r="C88" s="42"/>
      <x:c r="D88" s="42"/>
      <x:c r="E88" s="42"/>
      <x:c r="F88" s="42"/>
      <x:c r="G88" s="42"/>
      <x:c r="H88" s="42"/>
      <x:c r="I88" s="42"/>
      <x:c r="J88" s="42"/>
      <x:c r="K88" s="42"/>
      <x:c r="L88" s="42"/>
      <x:c r="M88" s="42"/>
    </x:row>
    <x:row r="89">
      <x:c r="A89" s="42"/>
      <x:c r="B89" s="42"/>
      <x:c r="C89" s="42"/>
      <x:c r="D89" s="42"/>
      <x:c r="E89" s="42"/>
      <x:c r="F89" s="42"/>
      <x:c r="G89" s="42"/>
      <x:c r="H89" s="42"/>
      <x:c r="I89" s="42"/>
      <x:c r="J89" s="42"/>
      <x:c r="K89" s="42"/>
      <x:c r="L89" s="42"/>
      <x:c r="M89" s="42"/>
    </x:row>
    <x:row r="90">
      <x:c r="A90" s="42"/>
      <x:c r="B90" s="42"/>
      <x:c r="C90" s="42"/>
      <x:c r="D90" s="42"/>
      <x:c r="E90" s="42"/>
      <x:c r="F90" s="42"/>
      <x:c r="G90" s="42"/>
      <x:c r="H90" s="42"/>
      <x:c r="I90" s="42"/>
      <x:c r="J90" s="42"/>
      <x:c r="K90" s="42"/>
      <x:c r="L90" s="42"/>
      <x:c r="M90" s="42"/>
    </x:row>
    <x:row r="91">
      <x:c r="A91" s="42"/>
      <x:c r="B91" s="42"/>
      <x:c r="C91" s="42"/>
      <x:c r="D91" s="42"/>
      <x:c r="E91" s="42"/>
      <x:c r="F91" s="42"/>
      <x:c r="G91" s="42"/>
      <x:c r="H91" s="42"/>
      <x:c r="I91" s="42"/>
      <x:c r="J91" s="42"/>
      <x:c r="K91" s="42"/>
      <x:c r="L91" s="42"/>
      <x:c r="M91" s="42"/>
    </x:row>
    <x:row r="92">
      <x:c r="A92" s="42"/>
      <x:c r="B92" s="42"/>
      <x:c r="C92" s="42"/>
      <x:c r="D92" s="42"/>
      <x:c r="E92" s="42"/>
      <x:c r="F92" s="42"/>
      <x:c r="G92" s="42"/>
      <x:c r="H92" s="42"/>
      <x:c r="I92" s="42"/>
      <x:c r="J92" s="42"/>
      <x:c r="K92" s="42"/>
      <x:c r="L92" s="42"/>
      <x:c r="M92" s="42"/>
    </x:row>
    <x:row r="93">
      <x:c r="A93" s="42"/>
      <x:c r="B93" s="42"/>
      <x:c r="C93" s="42"/>
      <x:c r="D93" s="42"/>
      <x:c r="E93" s="42"/>
      <x:c r="F93" s="42"/>
      <x:c r="G93" s="42"/>
      <x:c r="H93" s="42"/>
      <x:c r="I93" s="42"/>
      <x:c r="J93" s="42"/>
      <x:c r="K93" s="42"/>
      <x:c r="L93" s="42"/>
      <x:c r="M93" s="42"/>
    </x:row>
    <x:row r="94">
      <x:c r="A94" s="42"/>
      <x:c r="B94" s="42"/>
      <x:c r="C94" s="42"/>
      <x:c r="D94" s="42"/>
      <x:c r="E94" s="42"/>
      <x:c r="F94" s="42"/>
      <x:c r="G94" s="42"/>
      <x:c r="H94" s="42"/>
      <x:c r="I94" s="42"/>
      <x:c r="J94" s="42"/>
      <x:c r="K94" s="42"/>
      <x:c r="L94" s="42"/>
      <x:c r="M94" s="42"/>
    </x:row>
    <x:row r="95">
      <x:c r="A95" s="42"/>
      <x:c r="B95" s="42"/>
      <x:c r="C95" s="42"/>
      <x:c r="D95" s="42"/>
      <x:c r="E95" s="42"/>
      <x:c r="F95" s="42"/>
      <x:c r="G95" s="42"/>
      <x:c r="H95" s="42"/>
      <x:c r="I95" s="42"/>
      <x:c r="J95" s="42"/>
      <x:c r="K95" s="42"/>
      <x:c r="L95" s="42"/>
      <x:c r="M95" s="42"/>
    </x:row>
    <x:row r="96">
      <x:c r="A96" s="42"/>
      <x:c r="B96" s="42"/>
      <x:c r="C96" s="42"/>
      <x:c r="D96" s="42"/>
      <x:c r="E96" s="42"/>
      <x:c r="F96" s="42"/>
      <x:c r="G96" s="42"/>
      <x:c r="H96" s="42"/>
      <x:c r="I96" s="42"/>
      <x:c r="J96" s="42"/>
      <x:c r="K96" s="42"/>
      <x:c r="L96" s="42"/>
      <x:c r="M96" s="42"/>
    </x:row>
    <x:row r="97">
      <x:c r="A97" s="42"/>
      <x:c r="B97" s="42"/>
      <x:c r="C97" s="42"/>
      <x:c r="D97" s="42"/>
      <x:c r="E97" s="42"/>
      <x:c r="F97" s="42"/>
      <x:c r="G97" s="42"/>
      <x:c r="H97" s="42"/>
      <x:c r="I97" s="42"/>
      <x:c r="J97" s="42"/>
      <x:c r="K97" s="42"/>
      <x:c r="L97" s="42"/>
      <x:c r="M97" s="42"/>
    </x:row>
    <x:row r="98">
      <x:c r="A98" s="42"/>
      <x:c r="B98" s="42"/>
      <x:c r="C98" s="42"/>
      <x:c r="D98" s="42"/>
      <x:c r="E98" s="42"/>
      <x:c r="F98" s="42"/>
      <x:c r="G98" s="42"/>
      <x:c r="H98" s="42"/>
      <x:c r="I98" s="42"/>
      <x:c r="J98" s="42"/>
      <x:c r="K98" s="42"/>
      <x:c r="L98" s="42"/>
      <x:c r="M98" s="42"/>
    </x:row>
    <x:row r="99">
      <x:c r="A99" s="42"/>
      <x:c r="B99" s="42"/>
      <x:c r="C99" s="42"/>
      <x:c r="D99" s="42"/>
      <x:c r="E99" s="42"/>
      <x:c r="F99" s="42"/>
      <x:c r="G99" s="42"/>
      <x:c r="H99" s="42"/>
      <x:c r="I99" s="42"/>
      <x:c r="J99" s="42"/>
      <x:c r="K99" s="42"/>
      <x:c r="L99" s="42"/>
      <x:c r="M99" s="42"/>
    </x:row>
    <x:row r="100">
      <x:c r="A100" s="42"/>
      <x:c r="B100" s="42"/>
      <x:c r="C100" s="42"/>
      <x:c r="D100" s="42"/>
      <x:c r="E100" s="42"/>
      <x:c r="F100" s="42"/>
      <x:c r="G100" s="42"/>
      <x:c r="H100" s="42"/>
      <x:c r="I100" s="42"/>
      <x:c r="J100" s="42"/>
      <x:c r="K100" s="42"/>
      <x:c r="L100" s="42"/>
      <x:c r="M100" s="42"/>
    </x:row>
    <x:row r="101">
      <x:c r="A101" s="42"/>
      <x:c r="B101" s="42"/>
      <x:c r="C101" s="42"/>
      <x:c r="D101" s="42"/>
      <x:c r="E101" s="42"/>
      <x:c r="F101" s="42"/>
      <x:c r="G101" s="42"/>
      <x:c r="H101" s="42"/>
      <x:c r="I101" s="42"/>
      <x:c r="J101" s="42"/>
      <x:c r="K101" s="42"/>
      <x:c r="L101" s="42"/>
      <x:c r="M101" s="42"/>
    </x:row>
    <x:row r="102">
      <x:c r="A102" s="42"/>
      <x:c r="B102" s="42"/>
      <x:c r="C102" s="42"/>
      <x:c r="D102" s="42"/>
      <x:c r="E102" s="42"/>
      <x:c r="F102" s="42"/>
      <x:c r="G102" s="42"/>
      <x:c r="H102" s="42"/>
      <x:c r="I102" s="42"/>
      <x:c r="J102" s="42"/>
      <x:c r="K102" s="42"/>
      <x:c r="L102" s="42"/>
      <x:c r="M102" s="42"/>
    </x:row>
    <x:row r="103">
      <x:c r="A103" s="42"/>
      <x:c r="B103" s="42"/>
      <x:c r="C103" s="42"/>
      <x:c r="D103" s="42"/>
      <x:c r="E103" s="42"/>
      <x:c r="F103" s="42"/>
      <x:c r="G103" s="42"/>
      <x:c r="H103" s="42"/>
      <x:c r="I103" s="42"/>
      <x:c r="J103" s="42"/>
      <x:c r="K103" s="42"/>
      <x:c r="L103" s="42"/>
      <x:c r="M103" s="42"/>
    </x:row>
    <x:row r="104">
      <x:c r="A104" s="42"/>
      <x:c r="B104" s="42"/>
      <x:c r="C104" s="42"/>
      <x:c r="D104" s="42"/>
      <x:c r="E104" s="42"/>
      <x:c r="F104" s="42"/>
      <x:c r="G104" s="42"/>
      <x:c r="H104" s="42"/>
      <x:c r="I104" s="42"/>
      <x:c r="J104" s="42"/>
      <x:c r="K104" s="42"/>
      <x:c r="L104" s="42"/>
      <x:c r="M104" s="42"/>
    </x:row>
    <x:row r="105">
      <x:c r="A105" s="42"/>
      <x:c r="B105" s="42"/>
      <x:c r="C105" s="42"/>
      <x:c r="D105" s="42"/>
      <x:c r="E105" s="42"/>
      <x:c r="F105" s="42"/>
      <x:c r="G105" s="42"/>
      <x:c r="H105" s="42"/>
      <x:c r="I105" s="42"/>
      <x:c r="J105" s="42"/>
      <x:c r="K105" s="42"/>
      <x:c r="L105" s="42"/>
      <x:c r="M105" s="42"/>
    </x:row>
    <x:row r="106">
      <x:c r="A106" s="42"/>
      <x:c r="B106" s="42"/>
      <x:c r="C106" s="42"/>
      <x:c r="D106" s="42"/>
      <x:c r="E106" s="42"/>
      <x:c r="F106" s="42"/>
      <x:c r="G106" s="42"/>
      <x:c r="H106" s="42"/>
      <x:c r="I106" s="42"/>
      <x:c r="J106" s="42"/>
      <x:c r="K106" s="42"/>
      <x:c r="L106" s="42"/>
      <x:c r="M106" s="42"/>
    </x:row>
    <x:row r="107">
      <x:c r="A107" s="42"/>
      <x:c r="B107" s="42"/>
      <x:c r="C107" s="42"/>
      <x:c r="D107" s="42"/>
      <x:c r="E107" s="42"/>
      <x:c r="F107" s="42"/>
      <x:c r="G107" s="42"/>
      <x:c r="H107" s="42"/>
      <x:c r="I107" s="42"/>
      <x:c r="J107" s="42"/>
      <x:c r="K107" s="42"/>
      <x:c r="L107" s="42"/>
      <x:c r="M107" s="42"/>
    </x:row>
    <x:row r="108">
      <x:c r="A108" s="42"/>
      <x:c r="B108" s="42"/>
      <x:c r="C108" s="42"/>
      <x:c r="D108" s="42"/>
      <x:c r="E108" s="42"/>
      <x:c r="F108" s="42"/>
      <x:c r="G108" s="42"/>
      <x:c r="H108" s="42"/>
      <x:c r="I108" s="42"/>
      <x:c r="J108" s="42"/>
      <x:c r="K108" s="42"/>
      <x:c r="L108" s="42"/>
      <x:c r="M108" s="42"/>
    </x:row>
    <x:row r="109">
      <x:c r="A109" s="42"/>
      <x:c r="B109" s="42"/>
      <x:c r="C109" s="42"/>
      <x:c r="D109" s="42"/>
      <x:c r="E109" s="42"/>
      <x:c r="F109" s="42"/>
      <x:c r="G109" s="42"/>
      <x:c r="H109" s="42"/>
      <x:c r="I109" s="42"/>
      <x:c r="J109" s="42"/>
      <x:c r="K109" s="42"/>
      <x:c r="L109" s="42"/>
      <x:c r="M109" s="42"/>
    </x:row>
    <x:row r="110">
      <x:c r="A110" s="42"/>
      <x:c r="B110" s="42"/>
      <x:c r="C110" s="42"/>
      <x:c r="D110" s="42"/>
      <x:c r="E110" s="42"/>
      <x:c r="F110" s="42"/>
      <x:c r="G110" s="42"/>
      <x:c r="H110" s="42"/>
      <x:c r="I110" s="42"/>
      <x:c r="J110" s="42"/>
      <x:c r="K110" s="42"/>
      <x:c r="L110" s="42"/>
      <x:c r="M110" s="42"/>
    </x:row>
    <x:row r="111">
      <x:c r="A111" s="42"/>
      <x:c r="B111" s="42"/>
      <x:c r="C111" s="42"/>
      <x:c r="D111" s="42"/>
      <x:c r="E111" s="42"/>
      <x:c r="F111" s="42"/>
      <x:c r="G111" s="42"/>
      <x:c r="H111" s="42"/>
      <x:c r="I111" s="42"/>
      <x:c r="J111" s="42"/>
      <x:c r="K111" s="42"/>
      <x:c r="L111" s="42"/>
      <x:c r="M111" s="42"/>
    </x:row>
    <x:row r="112">
      <x:c r="A112" s="42"/>
      <x:c r="B112" s="42"/>
      <x:c r="C112" s="42"/>
      <x:c r="D112" s="42"/>
      <x:c r="E112" s="42"/>
      <x:c r="F112" s="42"/>
      <x:c r="G112" s="42"/>
      <x:c r="H112" s="42"/>
      <x:c r="I112" s="42"/>
      <x:c r="J112" s="42"/>
      <x:c r="K112" s="42"/>
      <x:c r="L112" s="42"/>
      <x:c r="M112" s="42"/>
    </x:row>
    <x:row r="113">
      <x:c r="A113" s="42"/>
      <x:c r="B113" s="42"/>
      <x:c r="C113" s="42"/>
      <x:c r="D113" s="42"/>
      <x:c r="E113" s="42"/>
      <x:c r="F113" s="42"/>
      <x:c r="G113" s="42"/>
      <x:c r="H113" s="42"/>
      <x:c r="I113" s="42"/>
      <x:c r="J113" s="42"/>
      <x:c r="K113" s="42"/>
      <x:c r="L113" s="42"/>
      <x:c r="M113" s="42"/>
    </x:row>
    <x:row r="114">
      <x:c r="A114" s="42"/>
      <x:c r="B114" s="42"/>
      <x:c r="C114" s="42"/>
      <x:c r="D114" s="42"/>
      <x:c r="E114" s="42"/>
      <x:c r="F114" s="42"/>
      <x:c r="G114" s="42"/>
      <x:c r="H114" s="42"/>
      <x:c r="I114" s="42"/>
      <x:c r="J114" s="42"/>
      <x:c r="K114" s="42"/>
      <x:c r="L114" s="42"/>
      <x:c r="M114" s="42"/>
    </x:row>
    <x:row r="115">
      <x:c r="A115" s="42"/>
      <x:c r="B115" s="42"/>
      <x:c r="C115" s="42"/>
      <x:c r="D115" s="42"/>
      <x:c r="E115" s="42"/>
      <x:c r="F115" s="42"/>
      <x:c r="G115" s="42"/>
      <x:c r="H115" s="42"/>
      <x:c r="I115" s="42"/>
      <x:c r="J115" s="42"/>
      <x:c r="K115" s="42"/>
      <x:c r="L115" s="42"/>
      <x:c r="M115" s="42"/>
    </x:row>
    <x:row r="116">
      <x:c r="A116" s="42"/>
      <x:c r="B116" s="42"/>
      <x:c r="C116" s="42"/>
      <x:c r="D116" s="42"/>
      <x:c r="E116" s="42"/>
      <x:c r="F116" s="42"/>
      <x:c r="G116" s="42"/>
      <x:c r="H116" s="42"/>
      <x:c r="I116" s="42"/>
      <x:c r="J116" s="42"/>
      <x:c r="K116" s="42"/>
      <x:c r="L116" s="42"/>
      <x:c r="M116" s="42"/>
    </x:row>
    <x:row r="117">
      <x:c r="A117" s="42"/>
      <x:c r="B117" s="42"/>
      <x:c r="C117" s="42"/>
      <x:c r="D117" s="42"/>
      <x:c r="E117" s="42"/>
      <x:c r="F117" s="42"/>
      <x:c r="G117" s="42"/>
      <x:c r="H117" s="42"/>
      <x:c r="I117" s="42"/>
      <x:c r="J117" s="42"/>
      <x:c r="K117" s="42"/>
      <x:c r="L117" s="42"/>
      <x:c r="M117" s="42"/>
    </x:row>
    <x:row r="118">
      <x:c r="A118" s="42"/>
      <x:c r="B118" s="42"/>
      <x:c r="C118" s="42"/>
      <x:c r="D118" s="42"/>
      <x:c r="E118" s="42"/>
      <x:c r="F118" s="42"/>
      <x:c r="G118" s="42"/>
      <x:c r="H118" s="42"/>
      <x:c r="I118" s="42"/>
      <x:c r="J118" s="42"/>
      <x:c r="K118" s="42"/>
      <x:c r="L118" s="42"/>
      <x:c r="M118" s="42"/>
    </x:row>
    <x:row r="119">
      <x:c r="A119" s="42"/>
      <x:c r="B119" s="42"/>
      <x:c r="C119" s="42"/>
      <x:c r="D119" s="42"/>
      <x:c r="E119" s="42"/>
      <x:c r="F119" s="42"/>
      <x:c r="G119" s="42"/>
      <x:c r="H119" s="42"/>
      <x:c r="I119" s="42"/>
      <x:c r="J119" s="42"/>
      <x:c r="K119" s="42"/>
      <x:c r="L119" s="42"/>
      <x:c r="M119" s="42"/>
    </x:row>
    <x:row r="120">
      <x:c r="A120" s="42"/>
      <x:c r="B120" s="42"/>
      <x:c r="C120" s="42"/>
      <x:c r="D120" s="42"/>
      <x:c r="E120" s="42"/>
      <x:c r="F120" s="42"/>
      <x:c r="G120" s="42"/>
      <x:c r="H120" s="42"/>
      <x:c r="I120" s="42"/>
      <x:c r="J120" s="42"/>
      <x:c r="K120" s="42"/>
      <x:c r="L120" s="42"/>
      <x:c r="M120" s="42"/>
    </x:row>
    <x:row r="121">
      <x:c r="A121" s="42"/>
      <x:c r="B121" s="42"/>
      <x:c r="C121" s="42"/>
      <x:c r="D121" s="42"/>
      <x:c r="E121" s="42"/>
      <x:c r="F121" s="42"/>
      <x:c r="G121" s="42"/>
      <x:c r="H121" s="42"/>
      <x:c r="I121" s="42"/>
      <x:c r="J121" s="42"/>
      <x:c r="K121" s="42"/>
      <x:c r="L121" s="42"/>
      <x:c r="M121" s="42"/>
    </x:row>
    <x:row r="122">
      <x:c r="A122" s="42"/>
      <x:c r="B122" s="42"/>
      <x:c r="C122" s="42"/>
      <x:c r="D122" s="42"/>
      <x:c r="E122" s="42"/>
      <x:c r="F122" s="42"/>
      <x:c r="G122" s="42"/>
      <x:c r="H122" s="42"/>
      <x:c r="I122" s="42"/>
      <x:c r="J122" s="42"/>
      <x:c r="K122" s="42"/>
      <x:c r="L122" s="42"/>
      <x:c r="M122" s="42"/>
    </x:row>
    <x:row r="123">
      <x:c r="A123" s="42"/>
      <x:c r="B123" s="42"/>
      <x:c r="C123" s="42"/>
      <x:c r="D123" s="42"/>
      <x:c r="E123" s="42"/>
      <x:c r="F123" s="42"/>
      <x:c r="G123" s="42"/>
      <x:c r="H123" s="42"/>
      <x:c r="I123" s="42"/>
      <x:c r="J123" s="42"/>
      <x:c r="K123" s="42"/>
      <x:c r="L123" s="42"/>
      <x:c r="M123" s="42"/>
    </x:row>
    <x:row r="124">
      <x:c r="A124" s="42"/>
      <x:c r="B124" s="42"/>
      <x:c r="C124" s="42"/>
      <x:c r="D124" s="42"/>
      <x:c r="E124" s="42"/>
      <x:c r="F124" s="42"/>
      <x:c r="G124" s="42"/>
      <x:c r="H124" s="42"/>
      <x:c r="I124" s="42"/>
      <x:c r="J124" s="42"/>
      <x:c r="K124" s="42"/>
      <x:c r="L124" s="42"/>
      <x:c r="M124" s="42"/>
    </x:row>
    <x:row r="125">
      <x:c r="A125" s="42"/>
      <x:c r="B125" s="42"/>
      <x:c r="C125" s="42"/>
      <x:c r="D125" s="42"/>
      <x:c r="E125" s="42"/>
      <x:c r="F125" s="42"/>
      <x:c r="G125" s="42"/>
      <x:c r="H125" s="42"/>
      <x:c r="I125" s="42"/>
      <x:c r="J125" s="42"/>
      <x:c r="K125" s="42"/>
      <x:c r="L125" s="42"/>
      <x:c r="M125" s="42"/>
    </x:row>
    <x:row r="126">
      <x:c r="A126" s="42"/>
      <x:c r="B126" s="42"/>
      <x:c r="C126" s="42"/>
      <x:c r="D126" s="42"/>
      <x:c r="E126" s="42"/>
      <x:c r="F126" s="42"/>
      <x:c r="G126" s="42"/>
      <x:c r="H126" s="42"/>
      <x:c r="I126" s="42"/>
      <x:c r="J126" s="42"/>
      <x:c r="K126" s="42"/>
      <x:c r="L126" s="42"/>
      <x:c r="M126" s="42"/>
    </x:row>
    <x:row r="127">
      <x:c r="A127" s="42"/>
      <x:c r="B127" s="42"/>
      <x:c r="C127" s="42"/>
      <x:c r="D127" s="42"/>
      <x:c r="E127" s="42"/>
      <x:c r="F127" s="42"/>
      <x:c r="G127" s="42"/>
      <x:c r="H127" s="42"/>
      <x:c r="I127" s="42"/>
      <x:c r="J127" s="42"/>
      <x:c r="K127" s="42"/>
      <x:c r="L127" s="42"/>
      <x:c r="M127" s="42"/>
    </x:row>
    <x:row r="128">
      <x:c r="A128" s="42"/>
      <x:c r="B128" s="42"/>
      <x:c r="C128" s="42"/>
      <x:c r="D128" s="42"/>
      <x:c r="E128" s="42"/>
      <x:c r="F128" s="42"/>
      <x:c r="G128" s="42"/>
      <x:c r="H128" s="42"/>
      <x:c r="I128" s="42"/>
      <x:c r="J128" s="42"/>
      <x:c r="K128" s="42"/>
      <x:c r="L128" s="42"/>
      <x:c r="M128" s="42"/>
    </x:row>
    <x:row r="129">
      <x:c r="A129" s="42"/>
      <x:c r="B129" s="42"/>
      <x:c r="C129" s="42"/>
      <x:c r="D129" s="42"/>
      <x:c r="E129" s="42"/>
      <x:c r="F129" s="42"/>
      <x:c r="G129" s="42"/>
      <x:c r="H129" s="42"/>
      <x:c r="I129" s="42"/>
      <x:c r="J129" s="42"/>
      <x:c r="K129" s="42"/>
      <x:c r="L129" s="42"/>
      <x:c r="M129" s="42"/>
    </x:row>
    <x:row r="130">
      <x:c r="A130" s="42"/>
      <x:c r="B130" s="42"/>
      <x:c r="C130" s="42"/>
      <x:c r="D130" s="42"/>
      <x:c r="E130" s="42"/>
      <x:c r="F130" s="42"/>
      <x:c r="G130" s="42"/>
      <x:c r="H130" s="42"/>
      <x:c r="I130" s="42"/>
      <x:c r="J130" s="42"/>
      <x:c r="K130" s="42"/>
      <x:c r="L130" s="42"/>
      <x:c r="M130" s="42"/>
    </x:row>
    <x:row r="131">
      <x:c r="A131" s="42"/>
      <x:c r="B131" s="42"/>
      <x:c r="C131" s="42"/>
      <x:c r="D131" s="42"/>
      <x:c r="E131" s="42"/>
      <x:c r="F131" s="42"/>
      <x:c r="G131" s="42"/>
      <x:c r="H131" s="42"/>
      <x:c r="I131" s="42"/>
      <x:c r="J131" s="42"/>
      <x:c r="K131" s="42"/>
      <x:c r="L131" s="42"/>
      <x:c r="M131" s="42"/>
    </x:row>
    <x:row r="132">
      <x:c r="A132" s="42"/>
      <x:c r="B132" s="42"/>
      <x:c r="C132" s="42"/>
      <x:c r="D132" s="42"/>
      <x:c r="E132" s="42"/>
      <x:c r="F132" s="42"/>
      <x:c r="G132" s="42"/>
      <x:c r="H132" s="42"/>
      <x:c r="I132" s="42"/>
      <x:c r="J132" s="42"/>
      <x:c r="K132" s="42"/>
      <x:c r="L132" s="42"/>
      <x:c r="M132" s="42"/>
    </x:row>
    <x:row r="133">
      <x:c r="A133" s="42"/>
      <x:c r="B133" s="42"/>
      <x:c r="C133" s="42"/>
      <x:c r="D133" s="42"/>
      <x:c r="E133" s="42"/>
      <x:c r="F133" s="42"/>
      <x:c r="G133" s="42"/>
      <x:c r="H133" s="42"/>
      <x:c r="I133" s="42"/>
      <x:c r="J133" s="42"/>
      <x:c r="K133" s="42"/>
      <x:c r="L133" s="42"/>
      <x:c r="M133" s="42"/>
    </x:row>
    <x:row r="134">
      <x:c r="A134" s="42"/>
      <x:c r="B134" s="42"/>
      <x:c r="C134" s="42"/>
      <x:c r="D134" s="42"/>
      <x:c r="E134" s="42"/>
      <x:c r="F134" s="42"/>
      <x:c r="G134" s="42"/>
      <x:c r="H134" s="42"/>
      <x:c r="I134" s="42"/>
      <x:c r="J134" s="42"/>
      <x:c r="K134" s="42"/>
      <x:c r="L134" s="42"/>
      <x:c r="M134" s="42"/>
    </x:row>
    <x:row r="135">
      <x:c r="A135" s="42"/>
      <x:c r="B135" s="42"/>
      <x:c r="C135" s="42"/>
      <x:c r="D135" s="42"/>
      <x:c r="E135" s="42"/>
      <x:c r="F135" s="42"/>
      <x:c r="G135" s="42"/>
      <x:c r="H135" s="42"/>
      <x:c r="I135" s="42"/>
      <x:c r="J135" s="42"/>
      <x:c r="K135" s="42"/>
      <x:c r="L135" s="42"/>
      <x:c r="M135" s="42"/>
    </x:row>
    <x:row r="136">
      <x:c r="A136" s="42"/>
      <x:c r="B136" s="42"/>
      <x:c r="C136" s="42"/>
      <x:c r="D136" s="42"/>
      <x:c r="E136" s="42"/>
      <x:c r="F136" s="42"/>
      <x:c r="G136" s="42"/>
      <x:c r="H136" s="42"/>
      <x:c r="I136" s="42"/>
      <x:c r="J136" s="42"/>
      <x:c r="K136" s="42"/>
      <x:c r="L136" s="42"/>
      <x:c r="M136" s="42"/>
    </x:row>
    <x:row r="137">
      <x:c r="A137" s="42"/>
      <x:c r="B137" s="42"/>
      <x:c r="C137" s="42"/>
      <x:c r="D137" s="42"/>
      <x:c r="E137" s="42"/>
      <x:c r="F137" s="42"/>
      <x:c r="G137" s="42"/>
      <x:c r="H137" s="42"/>
      <x:c r="I137" s="42"/>
      <x:c r="J137" s="42"/>
      <x:c r="K137" s="42"/>
      <x:c r="L137" s="42"/>
      <x:c r="M137" s="42"/>
    </x:row>
    <x:row r="138">
      <x:c r="A138" s="42"/>
      <x:c r="B138" s="42"/>
      <x:c r="C138" s="42"/>
      <x:c r="D138" s="42"/>
      <x:c r="E138" s="42"/>
      <x:c r="F138" s="42"/>
      <x:c r="G138" s="42"/>
      <x:c r="H138" s="42"/>
      <x:c r="I138" s="42"/>
      <x:c r="J138" s="42"/>
      <x:c r="K138" s="42"/>
      <x:c r="L138" s="42"/>
      <x:c r="M138" s="42"/>
    </x:row>
    <x:row r="139">
      <x:c r="A139" s="42"/>
      <x:c r="B139" s="42"/>
      <x:c r="C139" s="42"/>
      <x:c r="D139" s="42"/>
      <x:c r="E139" s="42"/>
      <x:c r="F139" s="42"/>
      <x:c r="G139" s="42"/>
      <x:c r="H139" s="42"/>
      <x:c r="I139" s="42"/>
      <x:c r="J139" s="42"/>
      <x:c r="K139" s="42"/>
      <x:c r="L139" s="42"/>
      <x:c r="M139" s="42"/>
    </x:row>
    <x:row r="140">
      <x:c r="A140" s="42"/>
      <x:c r="B140" s="42"/>
      <x:c r="C140" s="42"/>
      <x:c r="D140" s="42"/>
      <x:c r="E140" s="42"/>
      <x:c r="F140" s="42"/>
      <x:c r="G140" s="42"/>
      <x:c r="H140" s="42"/>
      <x:c r="I140" s="42"/>
      <x:c r="J140" s="42"/>
      <x:c r="K140" s="42"/>
      <x:c r="L140" s="42"/>
      <x:c r="M140" s="42"/>
    </x:row>
    <x:row r="141">
      <x:c r="A141" s="42"/>
      <x:c r="B141" s="42"/>
      <x:c r="C141" s="42"/>
      <x:c r="D141" s="42"/>
      <x:c r="E141" s="42"/>
      <x:c r="F141" s="42"/>
      <x:c r="G141" s="42"/>
      <x:c r="H141" s="42"/>
      <x:c r="I141" s="42"/>
      <x:c r="J141" s="42"/>
      <x:c r="K141" s="42"/>
      <x:c r="L141" s="42"/>
      <x:c r="M141" s="42"/>
    </x:row>
    <x:row r="142">
      <x:c r="A142" s="42"/>
      <x:c r="B142" s="42"/>
      <x:c r="C142" s="42"/>
      <x:c r="D142" s="42"/>
      <x:c r="E142" s="42"/>
      <x:c r="F142" s="42"/>
      <x:c r="G142" s="42"/>
      <x:c r="H142" s="42"/>
      <x:c r="I142" s="42"/>
      <x:c r="J142" s="42"/>
      <x:c r="K142" s="42"/>
      <x:c r="L142" s="42"/>
      <x:c r="M142" s="42"/>
    </x:row>
    <x:row r="143">
      <x:c r="A143" s="42"/>
      <x:c r="B143" s="42"/>
      <x:c r="C143" s="42"/>
      <x:c r="D143" s="42"/>
      <x:c r="E143" s="42"/>
      <x:c r="F143" s="42"/>
      <x:c r="G143" s="42"/>
      <x:c r="H143" s="42"/>
      <x:c r="I143" s="42"/>
      <x:c r="J143" s="42"/>
      <x:c r="K143" s="42"/>
      <x:c r="L143" s="42"/>
      <x:c r="M143" s="42"/>
    </x:row>
    <x:row r="144">
      <x:c r="A144" s="42"/>
      <x:c r="B144" s="42"/>
      <x:c r="C144" s="42"/>
      <x:c r="D144" s="42"/>
      <x:c r="E144" s="42"/>
      <x:c r="F144" s="42"/>
      <x:c r="G144" s="42"/>
      <x:c r="H144" s="42"/>
      <x:c r="I144" s="42"/>
      <x:c r="J144" s="42"/>
      <x:c r="K144" s="42"/>
      <x:c r="L144" s="42"/>
      <x:c r="M144" s="42"/>
    </x:row>
    <x:row r="145">
      <x:c r="A145" s="42"/>
      <x:c r="B145" s="42"/>
      <x:c r="C145" s="42"/>
      <x:c r="D145" s="42"/>
      <x:c r="E145" s="42"/>
      <x:c r="F145" s="42"/>
      <x:c r="G145" s="42"/>
      <x:c r="H145" s="42"/>
      <x:c r="I145" s="42"/>
      <x:c r="J145" s="42"/>
      <x:c r="K145" s="42"/>
      <x:c r="L145" s="42"/>
      <x:c r="M145" s="42"/>
    </x:row>
    <x:row r="146">
      <x:c r="A146" s="42"/>
      <x:c r="B146" s="42"/>
      <x:c r="C146" s="42"/>
      <x:c r="D146" s="42"/>
      <x:c r="E146" s="42"/>
      <x:c r="F146" s="42"/>
      <x:c r="G146" s="42"/>
      <x:c r="H146" s="42"/>
      <x:c r="I146" s="42"/>
      <x:c r="J146" s="42"/>
      <x:c r="K146" s="42"/>
      <x:c r="L146" s="42"/>
      <x:c r="M146" s="42"/>
    </x:row>
    <x:row r="147">
      <x:c r="A147" s="42"/>
      <x:c r="B147" s="42"/>
      <x:c r="C147" s="42"/>
      <x:c r="D147" s="42"/>
      <x:c r="E147" s="42"/>
      <x:c r="F147" s="42"/>
      <x:c r="G147" s="42"/>
      <x:c r="H147" s="42"/>
      <x:c r="I147" s="42"/>
      <x:c r="J147" s="42"/>
      <x:c r="K147" s="42"/>
      <x:c r="L147" s="42"/>
      <x:c r="M147" s="42"/>
    </x:row>
    <x:row r="148">
      <x:c r="A148" s="42"/>
      <x:c r="B148" s="42"/>
      <x:c r="C148" s="42"/>
      <x:c r="D148" s="42"/>
      <x:c r="E148" s="42"/>
      <x:c r="F148" s="42"/>
      <x:c r="G148" s="42"/>
      <x:c r="H148" s="42"/>
      <x:c r="I148" s="42"/>
      <x:c r="J148" s="42"/>
      <x:c r="K148" s="42"/>
      <x:c r="L148" s="42"/>
      <x:c r="M148" s="42"/>
    </x:row>
    <x:row r="149">
      <x:c r="A149" s="42"/>
      <x:c r="B149" s="42"/>
      <x:c r="C149" s="42"/>
      <x:c r="D149" s="42"/>
      <x:c r="E149" s="42"/>
      <x:c r="F149" s="42"/>
      <x:c r="G149" s="42"/>
      <x:c r="H149" s="42"/>
      <x:c r="I149" s="42"/>
      <x:c r="J149" s="42"/>
      <x:c r="K149" s="42"/>
      <x:c r="L149" s="42"/>
      <x:c r="M149" s="42"/>
    </x:row>
    <x:row r="150">
      <x:c r="A150" s="42"/>
      <x:c r="B150" s="42"/>
      <x:c r="C150" s="42"/>
      <x:c r="D150" s="42"/>
      <x:c r="E150" s="42"/>
      <x:c r="F150" s="42"/>
      <x:c r="G150" s="42"/>
      <x:c r="H150" s="42"/>
      <x:c r="I150" s="42"/>
      <x:c r="J150" s="42"/>
      <x:c r="K150" s="42"/>
      <x:c r="L150" s="42"/>
      <x:c r="M150" s="42"/>
    </x:row>
    <x:row r="151">
      <x:c r="A151" s="42"/>
      <x:c r="B151" s="42"/>
      <x:c r="C151" s="42"/>
      <x:c r="D151" s="42"/>
      <x:c r="E151" s="42"/>
      <x:c r="F151" s="42"/>
      <x:c r="G151" s="42"/>
      <x:c r="H151" s="42"/>
      <x:c r="I151" s="42"/>
      <x:c r="J151" s="42"/>
      <x:c r="K151" s="42"/>
      <x:c r="L151" s="42"/>
      <x:c r="M151" s="42"/>
    </x:row>
    <x:row r="152">
      <x:c r="A152" s="42"/>
      <x:c r="B152" s="42"/>
      <x:c r="C152" s="42"/>
      <x:c r="D152" s="42"/>
      <x:c r="E152" s="42"/>
      <x:c r="F152" s="42"/>
      <x:c r="G152" s="42"/>
      <x:c r="H152" s="42"/>
      <x:c r="I152" s="42"/>
      <x:c r="J152" s="42"/>
      <x:c r="K152" s="42"/>
      <x:c r="L152" s="42"/>
      <x:c r="M152" s="42"/>
    </x:row>
    <x:row r="153">
      <x:c r="A153" s="42"/>
      <x:c r="B153" s="42"/>
      <x:c r="C153" s="42"/>
      <x:c r="D153" s="42"/>
      <x:c r="E153" s="42"/>
      <x:c r="F153" s="42"/>
      <x:c r="G153" s="42"/>
      <x:c r="H153" s="42"/>
      <x:c r="I153" s="42"/>
      <x:c r="J153" s="42"/>
      <x:c r="K153" s="42"/>
      <x:c r="L153" s="42"/>
      <x:c r="M153" s="42"/>
    </x:row>
    <x:row r="154">
      <x:c r="A154" s="42"/>
      <x:c r="B154" s="42"/>
      <x:c r="C154" s="42"/>
      <x:c r="D154" s="42"/>
      <x:c r="E154" s="42"/>
      <x:c r="F154" s="42"/>
      <x:c r="G154" s="42"/>
      <x:c r="H154" s="42"/>
      <x:c r="I154" s="42"/>
      <x:c r="J154" s="42"/>
      <x:c r="K154" s="42"/>
      <x:c r="L154" s="42"/>
      <x:c r="M154" s="42"/>
    </x:row>
    <x:row r="155">
      <x:c r="A155" s="42"/>
      <x:c r="B155" s="42"/>
      <x:c r="C155" s="42"/>
      <x:c r="D155" s="42"/>
      <x:c r="E155" s="42"/>
      <x:c r="F155" s="42"/>
      <x:c r="G155" s="42"/>
      <x:c r="H155" s="42"/>
      <x:c r="I155" s="42"/>
      <x:c r="J155" s="42"/>
      <x:c r="K155" s="42"/>
      <x:c r="L155" s="42"/>
      <x:c r="M155" s="42"/>
    </x:row>
    <x:row r="156">
      <x:c r="A156" s="42"/>
      <x:c r="B156" s="42"/>
      <x:c r="C156" s="42"/>
      <x:c r="D156" s="42"/>
      <x:c r="E156" s="42"/>
      <x:c r="F156" s="42"/>
      <x:c r="G156" s="42"/>
      <x:c r="H156" s="42"/>
      <x:c r="I156" s="42"/>
      <x:c r="J156" s="42"/>
      <x:c r="K156" s="42"/>
      <x:c r="L156" s="42"/>
      <x:c r="M156" s="42"/>
    </x:row>
    <x:row r="157">
      <x:c r="A157" s="42"/>
      <x:c r="B157" s="42"/>
      <x:c r="C157" s="42"/>
      <x:c r="D157" s="42"/>
      <x:c r="E157" s="42"/>
      <x:c r="F157" s="42"/>
      <x:c r="G157" s="42"/>
      <x:c r="H157" s="42"/>
      <x:c r="I157" s="42"/>
      <x:c r="J157" s="42"/>
      <x:c r="K157" s="42"/>
      <x:c r="L157" s="42"/>
      <x:c r="M157" s="42"/>
    </x:row>
    <x:row r="158">
      <x:c r="A158" s="42"/>
      <x:c r="B158" s="42"/>
      <x:c r="C158" s="42"/>
      <x:c r="D158" s="42"/>
      <x:c r="E158" s="42"/>
      <x:c r="F158" s="42"/>
      <x:c r="G158" s="42"/>
      <x:c r="H158" s="42"/>
      <x:c r="I158" s="42"/>
      <x:c r="J158" s="42"/>
      <x:c r="K158" s="42"/>
      <x:c r="L158" s="42"/>
      <x:c r="M158" s="42"/>
    </x:row>
    <x:row r="159">
      <x:c r="A159" s="42"/>
      <x:c r="B159" s="42"/>
      <x:c r="C159" s="42"/>
      <x:c r="D159" s="42"/>
      <x:c r="E159" s="42"/>
      <x:c r="F159" s="42"/>
      <x:c r="G159" s="42"/>
      <x:c r="H159" s="42"/>
      <x:c r="I159" s="42"/>
      <x:c r="J159" s="42"/>
      <x:c r="K159" s="42"/>
      <x:c r="L159" s="42"/>
      <x:c r="M159" s="42"/>
    </x:row>
    <x:row r="160">
      <x:c r="A160" s="42"/>
      <x:c r="B160" s="42"/>
      <x:c r="C160" s="42"/>
      <x:c r="D160" s="42"/>
      <x:c r="E160" s="42"/>
      <x:c r="F160" s="42"/>
      <x:c r="G160" s="42"/>
      <x:c r="H160" s="42"/>
      <x:c r="I160" s="42"/>
      <x:c r="J160" s="42"/>
      <x:c r="K160" s="42"/>
      <x:c r="L160" s="42"/>
      <x:c r="M160" s="42"/>
    </x:row>
    <x:row r="161">
      <x:c r="A161" s="42"/>
      <x:c r="B161" s="42"/>
      <x:c r="C161" s="42"/>
      <x:c r="D161" s="42"/>
      <x:c r="E161" s="42"/>
      <x:c r="F161" s="42"/>
      <x:c r="G161" s="42"/>
      <x:c r="H161" s="42"/>
      <x:c r="I161" s="42"/>
      <x:c r="J161" s="42"/>
      <x:c r="K161" s="42"/>
      <x:c r="L161" s="42"/>
      <x:c r="M161" s="42"/>
    </x:row>
    <x:row r="162">
      <x:c r="A162" s="42"/>
      <x:c r="B162" s="42"/>
      <x:c r="C162" s="42"/>
      <x:c r="D162" s="42"/>
      <x:c r="E162" s="42"/>
      <x:c r="F162" s="42"/>
      <x:c r="G162" s="42"/>
      <x:c r="H162" s="42"/>
      <x:c r="I162" s="42"/>
      <x:c r="J162" s="42"/>
      <x:c r="K162" s="42"/>
      <x:c r="L162" s="42"/>
      <x:c r="M162" s="42"/>
    </x:row>
    <x:row r="163">
      <x:c r="A163" s="42"/>
      <x:c r="B163" s="42"/>
      <x:c r="C163" s="42"/>
      <x:c r="D163" s="42"/>
      <x:c r="E163" s="42"/>
      <x:c r="F163" s="42"/>
      <x:c r="G163" s="42"/>
      <x:c r="H163" s="42"/>
      <x:c r="I163" s="42"/>
      <x:c r="J163" s="42"/>
      <x:c r="K163" s="42"/>
      <x:c r="L163" s="42"/>
      <x:c r="M163" s="42"/>
    </x:row>
    <x:row r="164">
      <x:c r="A164" s="42"/>
      <x:c r="B164" s="42"/>
      <x:c r="C164" s="42"/>
      <x:c r="D164" s="42"/>
      <x:c r="E164" s="42"/>
      <x:c r="F164" s="42"/>
      <x:c r="G164" s="42"/>
      <x:c r="H164" s="42"/>
      <x:c r="I164" s="42"/>
      <x:c r="J164" s="42"/>
      <x:c r="K164" s="42"/>
      <x:c r="L164" s="42"/>
      <x:c r="M164" s="42"/>
    </x:row>
    <x:row r="165">
      <x:c r="A165" s="42"/>
      <x:c r="B165" s="42"/>
      <x:c r="C165" s="42"/>
      <x:c r="D165" s="42"/>
      <x:c r="E165" s="42"/>
      <x:c r="F165" s="42"/>
      <x:c r="G165" s="42"/>
      <x:c r="H165" s="42"/>
      <x:c r="I165" s="42"/>
      <x:c r="J165" s="42"/>
      <x:c r="K165" s="42"/>
      <x:c r="L165" s="42"/>
      <x:c r="M165" s="42"/>
    </x:row>
    <x:row r="166">
      <x:c r="A166" s="42"/>
      <x:c r="B166" s="42"/>
      <x:c r="C166" s="42"/>
      <x:c r="D166" s="42"/>
      <x:c r="E166" s="42"/>
      <x:c r="F166" s="42"/>
      <x:c r="G166" s="42"/>
      <x:c r="H166" s="42"/>
      <x:c r="I166" s="42"/>
      <x:c r="J166" s="42"/>
      <x:c r="K166" s="42"/>
      <x:c r="L166" s="42"/>
      <x:c r="M166" s="42"/>
    </x:row>
    <x:row r="167">
      <x:c r="A167" s="42"/>
      <x:c r="B167" s="42"/>
      <x:c r="C167" s="42"/>
      <x:c r="D167" s="42"/>
      <x:c r="E167" s="42"/>
      <x:c r="F167" s="42"/>
      <x:c r="G167" s="42"/>
      <x:c r="H167" s="42"/>
      <x:c r="I167" s="42"/>
      <x:c r="J167" s="42"/>
      <x:c r="K167" s="42"/>
      <x:c r="L167" s="42"/>
      <x:c r="M167" s="42"/>
    </x:row>
    <x:row r="168">
      <x:c r="A168" s="42"/>
      <x:c r="B168" s="42"/>
      <x:c r="C168" s="42"/>
      <x:c r="D168" s="42"/>
      <x:c r="E168" s="42"/>
      <x:c r="F168" s="42"/>
      <x:c r="G168" s="42"/>
      <x:c r="H168" s="42"/>
      <x:c r="I168" s="42"/>
      <x:c r="J168" s="42"/>
      <x:c r="K168" s="42"/>
      <x:c r="L168" s="42"/>
      <x:c r="M168" s="42"/>
    </x:row>
    <x:row r="169">
      <x:c r="A169" s="42"/>
      <x:c r="B169" s="42"/>
      <x:c r="C169" s="42"/>
      <x:c r="D169" s="42"/>
      <x:c r="E169" s="42"/>
      <x:c r="F169" s="42"/>
      <x:c r="G169" s="42"/>
      <x:c r="H169" s="42"/>
      <x:c r="I169" s="42"/>
      <x:c r="J169" s="42"/>
      <x:c r="K169" s="42"/>
      <x:c r="L169" s="42"/>
      <x:c r="M169" s="42"/>
    </x:row>
    <x:row r="170">
      <x:c r="A170" s="42"/>
      <x:c r="B170" s="42"/>
      <x:c r="C170" s="42"/>
      <x:c r="D170" s="42"/>
      <x:c r="E170" s="42"/>
      <x:c r="F170" s="42"/>
      <x:c r="G170" s="42"/>
      <x:c r="H170" s="42"/>
      <x:c r="I170" s="42"/>
      <x:c r="J170" s="42"/>
      <x:c r="K170" s="42"/>
      <x:c r="L170" s="42"/>
      <x:c r="M170" s="42"/>
    </x:row>
    <x:row r="171">
      <x:c r="A171" s="42"/>
      <x:c r="B171" s="42"/>
      <x:c r="C171" s="42"/>
      <x:c r="D171" s="42"/>
      <x:c r="E171" s="42"/>
      <x:c r="F171" s="42"/>
      <x:c r="G171" s="42"/>
      <x:c r="H171" s="42"/>
      <x:c r="I171" s="42"/>
      <x:c r="J171" s="42"/>
      <x:c r="K171" s="42"/>
      <x:c r="L171" s="42"/>
      <x:c r="M171" s="42"/>
    </x:row>
    <x:row r="172">
      <x:c r="A172" s="42"/>
      <x:c r="B172" s="42"/>
      <x:c r="C172" s="42"/>
      <x:c r="D172" s="42"/>
      <x:c r="E172" s="42"/>
      <x:c r="F172" s="42"/>
      <x:c r="G172" s="42"/>
      <x:c r="H172" s="42"/>
      <x:c r="I172" s="42"/>
      <x:c r="J172" s="42"/>
      <x:c r="K172" s="42"/>
      <x:c r="L172" s="42"/>
      <x:c r="M172" s="42"/>
    </x:row>
    <x:row r="173">
      <x:c r="A173" s="42"/>
      <x:c r="B173" s="42"/>
      <x:c r="C173" s="42"/>
      <x:c r="D173" s="42"/>
      <x:c r="E173" s="42"/>
      <x:c r="F173" s="42"/>
      <x:c r="G173" s="42"/>
      <x:c r="H173" s="42"/>
      <x:c r="I173" s="42"/>
      <x:c r="J173" s="42"/>
      <x:c r="K173" s="42"/>
      <x:c r="L173" s="42"/>
      <x:c r="M173" s="42"/>
    </x:row>
    <x:row r="174">
      <x:c r="A174" s="42"/>
      <x:c r="B174" s="42"/>
      <x:c r="C174" s="42"/>
      <x:c r="D174" s="42"/>
      <x:c r="E174" s="42"/>
      <x:c r="F174" s="42"/>
      <x:c r="G174" s="42"/>
      <x:c r="H174" s="42"/>
      <x:c r="I174" s="42"/>
      <x:c r="J174" s="42"/>
      <x:c r="K174" s="42"/>
      <x:c r="L174" s="42"/>
      <x:c r="M174" s="42"/>
    </x:row>
    <x:row r="175">
      <x:c r="A175" s="42"/>
      <x:c r="B175" s="42"/>
      <x:c r="C175" s="42"/>
      <x:c r="D175" s="42"/>
      <x:c r="E175" s="42"/>
      <x:c r="F175" s="42"/>
      <x:c r="G175" s="42"/>
      <x:c r="H175" s="42"/>
      <x:c r="I175" s="42"/>
      <x:c r="J175" s="42"/>
      <x:c r="K175" s="42"/>
      <x:c r="L175" s="42"/>
      <x:c r="M175" s="42"/>
    </x:row>
    <x:row r="176">
      <x:c r="A176" s="42"/>
      <x:c r="B176" s="42"/>
      <x:c r="C176" s="42"/>
      <x:c r="D176" s="42"/>
      <x:c r="E176" s="42"/>
      <x:c r="F176" s="42"/>
      <x:c r="G176" s="42"/>
      <x:c r="H176" s="42"/>
      <x:c r="I176" s="42"/>
      <x:c r="J176" s="42"/>
      <x:c r="K176" s="42"/>
      <x:c r="L176" s="42"/>
      <x:c r="M176" s="42"/>
    </x:row>
    <x:row r="177">
      <x:c r="A177" s="42"/>
      <x:c r="B177" s="42"/>
      <x:c r="C177" s="42"/>
      <x:c r="D177" s="42"/>
      <x:c r="E177" s="42"/>
      <x:c r="F177" s="42"/>
      <x:c r="G177" s="42"/>
      <x:c r="H177" s="42"/>
      <x:c r="I177" s="42"/>
      <x:c r="J177" s="42"/>
      <x:c r="K177" s="42"/>
      <x:c r="L177" s="42"/>
      <x:c r="M177" s="42"/>
    </x:row>
    <x:row r="178">
      <x:c r="A178" s="42"/>
      <x:c r="B178" s="42"/>
      <x:c r="C178" s="42"/>
      <x:c r="D178" s="42"/>
      <x:c r="E178" s="42"/>
      <x:c r="F178" s="42"/>
      <x:c r="G178" s="42"/>
      <x:c r="H178" s="42"/>
      <x:c r="I178" s="42"/>
      <x:c r="J178" s="42"/>
      <x:c r="K178" s="42"/>
      <x:c r="L178" s="42"/>
      <x:c r="M178" s="42"/>
    </x:row>
    <x:row r="179">
      <x:c r="A179" s="42"/>
      <x:c r="B179" s="42"/>
      <x:c r="C179" s="42"/>
      <x:c r="D179" s="42"/>
      <x:c r="E179" s="42"/>
      <x:c r="F179" s="42"/>
      <x:c r="G179" s="42"/>
      <x:c r="H179" s="42"/>
      <x:c r="I179" s="42"/>
      <x:c r="J179" s="42"/>
      <x:c r="K179" s="42"/>
      <x:c r="L179" s="42"/>
      <x:c r="M179" s="42"/>
    </x:row>
    <x:row r="180">
      <x:c r="A180" s="42"/>
      <x:c r="B180" s="42"/>
      <x:c r="C180" s="42"/>
      <x:c r="D180" s="42"/>
      <x:c r="E180" s="42"/>
      <x:c r="F180" s="42"/>
      <x:c r="G180" s="42"/>
      <x:c r="H180" s="42"/>
      <x:c r="I180" s="42"/>
      <x:c r="J180" s="42"/>
      <x:c r="K180" s="42"/>
      <x:c r="L180" s="42"/>
      <x:c r="M180" s="42"/>
    </x:row>
    <x:row r="181">
      <x:c r="A181" s="42"/>
      <x:c r="B181" s="42"/>
      <x:c r="C181" s="42"/>
      <x:c r="D181" s="42"/>
      <x:c r="E181" s="42"/>
      <x:c r="F181" s="42"/>
      <x:c r="G181" s="42"/>
      <x:c r="H181" s="42"/>
      <x:c r="I181" s="42"/>
      <x:c r="J181" s="42"/>
      <x:c r="K181" s="42"/>
      <x:c r="L181" s="42"/>
      <x:c r="M181" s="42"/>
    </x:row>
    <x:row r="182">
      <x:c r="A182" s="42"/>
      <x:c r="B182" s="42"/>
      <x:c r="C182" s="42"/>
      <x:c r="D182" s="42"/>
      <x:c r="E182" s="42"/>
      <x:c r="F182" s="42"/>
      <x:c r="G182" s="42"/>
      <x:c r="H182" s="42"/>
      <x:c r="I182" s="42"/>
      <x:c r="J182" s="42"/>
      <x:c r="K182" s="42"/>
      <x:c r="L182" s="42"/>
      <x:c r="M182" s="42"/>
    </x:row>
    <x:row r="183">
      <x:c r="A183" s="42"/>
      <x:c r="B183" s="42"/>
      <x:c r="C183" s="42"/>
      <x:c r="D183" s="42"/>
      <x:c r="E183" s="42"/>
      <x:c r="F183" s="42"/>
      <x:c r="G183" s="42"/>
      <x:c r="H183" s="42"/>
      <x:c r="I183" s="42"/>
      <x:c r="J183" s="42"/>
      <x:c r="K183" s="42"/>
      <x:c r="L183" s="42"/>
      <x:c r="M183" s="42"/>
    </x:row>
    <x:row r="184">
      <x:c r="A184" s="42"/>
      <x:c r="B184" s="42"/>
      <x:c r="C184" s="42"/>
      <x:c r="D184" s="42"/>
      <x:c r="E184" s="42"/>
      <x:c r="F184" s="42"/>
      <x:c r="G184" s="42"/>
      <x:c r="H184" s="42"/>
      <x:c r="I184" s="42"/>
      <x:c r="J184" s="42"/>
      <x:c r="K184" s="42"/>
      <x:c r="L184" s="42"/>
      <x:c r="M184" s="42"/>
    </x:row>
    <x:row r="185">
      <x:c r="A185" s="42"/>
      <x:c r="B185" s="42"/>
      <x:c r="C185" s="42"/>
      <x:c r="D185" s="42"/>
      <x:c r="E185" s="42"/>
      <x:c r="F185" s="42"/>
      <x:c r="G185" s="42"/>
      <x:c r="H185" s="42"/>
      <x:c r="I185" s="42"/>
      <x:c r="J185" s="42"/>
      <x:c r="K185" s="42"/>
      <x:c r="L185" s="42"/>
      <x:c r="M185" s="42"/>
    </x:row>
    <x:row r="186">
      <x:c r="A186" s="42"/>
      <x:c r="B186" s="42"/>
      <x:c r="C186" s="42"/>
      <x:c r="D186" s="42"/>
      <x:c r="E186" s="42"/>
      <x:c r="F186" s="42"/>
      <x:c r="G186" s="42"/>
      <x:c r="H186" s="42"/>
      <x:c r="I186" s="42"/>
      <x:c r="J186" s="42"/>
      <x:c r="K186" s="42"/>
      <x:c r="L186" s="42"/>
      <x:c r="M186" s="42"/>
    </x:row>
    <x:row r="187">
      <x:c r="A187" s="42"/>
      <x:c r="B187" s="42"/>
      <x:c r="C187" s="42"/>
      <x:c r="D187" s="42"/>
      <x:c r="E187" s="42"/>
      <x:c r="F187" s="42"/>
      <x:c r="G187" s="42"/>
      <x:c r="H187" s="42"/>
      <x:c r="I187" s="42"/>
      <x:c r="J187" s="42"/>
      <x:c r="K187" s="42"/>
      <x:c r="L187" s="42"/>
      <x:c r="M187" s="42"/>
    </x:row>
    <x:row r="188">
      <x:c r="A188" s="42"/>
      <x:c r="B188" s="42"/>
      <x:c r="C188" s="42"/>
      <x:c r="D188" s="42"/>
      <x:c r="E188" s="42"/>
      <x:c r="F188" s="42"/>
      <x:c r="G188" s="42"/>
      <x:c r="H188" s="42"/>
      <x:c r="I188" s="42"/>
      <x:c r="J188" s="42"/>
      <x:c r="K188" s="42"/>
      <x:c r="L188" s="42"/>
      <x:c r="M188" s="42"/>
    </x:row>
    <x:row r="189">
      <x:c r="A189" s="42"/>
      <x:c r="B189" s="42"/>
      <x:c r="C189" s="42"/>
      <x:c r="D189" s="42"/>
      <x:c r="E189" s="42"/>
      <x:c r="F189" s="42"/>
      <x:c r="G189" s="42"/>
      <x:c r="H189" s="42"/>
      <x:c r="I189" s="42"/>
      <x:c r="J189" s="42"/>
      <x:c r="K189" s="42"/>
      <x:c r="L189" s="42"/>
      <x:c r="M189" s="42"/>
    </x:row>
    <x:row r="190">
      <x:c r="A190" s="42"/>
      <x:c r="B190" s="42"/>
      <x:c r="C190" s="42"/>
      <x:c r="D190" s="42"/>
      <x:c r="E190" s="42"/>
      <x:c r="F190" s="42"/>
      <x:c r="G190" s="42"/>
      <x:c r="H190" s="42"/>
      <x:c r="I190" s="42"/>
      <x:c r="J190" s="42"/>
      <x:c r="K190" s="42"/>
      <x:c r="L190" s="42"/>
      <x:c r="M190" s="42"/>
    </x:row>
    <x:row r="191">
      <x:c r="A191" s="42"/>
      <x:c r="B191" s="42"/>
      <x:c r="C191" s="42"/>
      <x:c r="D191" s="42"/>
      <x:c r="E191" s="42"/>
      <x:c r="F191" s="42"/>
      <x:c r="G191" s="42"/>
      <x:c r="H191" s="42"/>
      <x:c r="I191" s="42"/>
      <x:c r="J191" s="42"/>
      <x:c r="K191" s="42"/>
      <x:c r="L191" s="42"/>
      <x:c r="M191" s="42"/>
    </x:row>
    <x:row r="192">
      <x:c r="A192" s="42"/>
      <x:c r="B192" s="42"/>
      <x:c r="C192" s="42"/>
      <x:c r="D192" s="42"/>
      <x:c r="E192" s="42"/>
      <x:c r="F192" s="42"/>
      <x:c r="G192" s="42"/>
      <x:c r="H192" s="42"/>
      <x:c r="I192" s="42"/>
      <x:c r="J192" s="42"/>
      <x:c r="K192" s="42"/>
      <x:c r="L192" s="42"/>
      <x:c r="M192" s="42"/>
    </x:row>
    <x:row r="193">
      <x:c r="A193" s="42"/>
      <x:c r="B193" s="42"/>
      <x:c r="C193" s="42"/>
      <x:c r="D193" s="42"/>
      <x:c r="E193" s="42"/>
      <x:c r="F193" s="42"/>
      <x:c r="G193" s="42"/>
      <x:c r="H193" s="42"/>
      <x:c r="I193" s="42"/>
      <x:c r="J193" s="42"/>
      <x:c r="K193" s="42"/>
      <x:c r="L193" s="42"/>
      <x:c r="M193" s="42"/>
    </x:row>
    <x:row r="194">
      <x:c r="A194" s="42"/>
      <x:c r="B194" s="42"/>
      <x:c r="C194" s="42"/>
      <x:c r="D194" s="42"/>
      <x:c r="E194" s="42"/>
      <x:c r="F194" s="42"/>
      <x:c r="G194" s="42"/>
      <x:c r="H194" s="42"/>
      <x:c r="I194" s="42"/>
      <x:c r="J194" s="42"/>
      <x:c r="K194" s="42"/>
      <x:c r="L194" s="42"/>
      <x:c r="M194" s="42"/>
    </x:row>
    <x:row r="195">
      <x:c r="A195" s="42"/>
      <x:c r="B195" s="42"/>
      <x:c r="C195" s="42"/>
      <x:c r="D195" s="42"/>
      <x:c r="E195" s="42"/>
      <x:c r="F195" s="42"/>
      <x:c r="G195" s="42"/>
      <x:c r="H195" s="42"/>
      <x:c r="I195" s="42"/>
      <x:c r="J195" s="42"/>
      <x:c r="K195" s="42"/>
      <x:c r="L195" s="42"/>
      <x:c r="M195" s="42"/>
    </x:row>
    <x:row r="196">
      <x:c r="A196" s="42"/>
      <x:c r="B196" s="42"/>
      <x:c r="C196" s="42"/>
      <x:c r="D196" s="42"/>
      <x:c r="E196" s="42"/>
      <x:c r="F196" s="42"/>
      <x:c r="G196" s="42"/>
      <x:c r="H196" s="42"/>
      <x:c r="I196" s="42"/>
      <x:c r="J196" s="42"/>
      <x:c r="K196" s="42"/>
      <x:c r="L196" s="42"/>
      <x:c r="M196" s="42"/>
    </x:row>
    <x:row r="197">
      <x:c r="A197" s="42"/>
      <x:c r="B197" s="42"/>
      <x:c r="C197" s="42"/>
      <x:c r="D197" s="42"/>
      <x:c r="E197" s="42"/>
      <x:c r="F197" s="42"/>
      <x:c r="G197" s="42"/>
      <x:c r="H197" s="42"/>
      <x:c r="I197" s="42"/>
      <x:c r="J197" s="42"/>
      <x:c r="K197" s="42"/>
      <x:c r="L197" s="42"/>
      <x:c r="M197" s="42"/>
    </x:row>
    <x:row r="198">
      <x:c r="A198" s="42"/>
      <x:c r="B198" s="42"/>
      <x:c r="C198" s="42"/>
      <x:c r="D198" s="42"/>
      <x:c r="E198" s="42"/>
      <x:c r="F198" s="42"/>
      <x:c r="G198" s="42"/>
      <x:c r="H198" s="42"/>
      <x:c r="I198" s="42"/>
      <x:c r="J198" s="42"/>
      <x:c r="K198" s="42"/>
      <x:c r="L198" s="42"/>
      <x:c r="M198" s="42"/>
    </x:row>
    <x:row r="199">
      <x:c r="A199" s="42"/>
      <x:c r="B199" s="42"/>
      <x:c r="C199" s="42"/>
      <x:c r="D199" s="42"/>
      <x:c r="E199" s="42"/>
      <x:c r="F199" s="42"/>
      <x:c r="G199" s="42"/>
      <x:c r="H199" s="42"/>
      <x:c r="I199" s="42"/>
      <x:c r="J199" s="42"/>
      <x:c r="K199" s="42"/>
      <x:c r="L199" s="42"/>
      <x:c r="M199" s="42"/>
    </x:row>
    <x:row r="200">
      <x:c r="A200" s="42"/>
      <x:c r="B200" s="42"/>
      <x:c r="C200" s="42"/>
      <x:c r="D200" s="42"/>
      <x:c r="E200" s="42"/>
      <x:c r="F200" s="42"/>
      <x:c r="G200" s="42"/>
      <x:c r="H200" s="42"/>
      <x:c r="I200" s="42"/>
      <x:c r="J200" s="42"/>
      <x:c r="K200" s="42"/>
      <x:c r="L200" s="42"/>
      <x:c r="M200" s="42"/>
    </x:row>
  </x:sheetData>
  <x:mergeCells>
    <x:mergeCell ref="A1:M1"/>
    <x:mergeCell ref="A2:M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.130001068115234" hidden="0" customWidth="1"/>
    <x:col min="2" max="2" width="11.880000114440918" hidden="0" customWidth="1"/>
    <x:col min="3" max="3" width="11.880000114440918" hidden="0" customWidth="1"/>
    <x:col min="4" max="4" width="11.880000114440918" hidden="0" customWidth="1"/>
    <x:col min="5" max="5" width="11.880000114440918" hidden="0" customWidth="1"/>
    <x:col min="6" max="6" width="11.880000114440918" hidden="0" customWidth="1"/>
    <x:col min="7" max="7" width="11.880000114440918" hidden="0" customWidth="1"/>
    <x:col min="8" max="8" width="11.880000114440918" hidden="0" customWidth="1"/>
    <x:col min="9" max="9" width="11.880000114440918" hidden="0" customWidth="1"/>
    <x:col min="10" max="10" width="11.880000114440918" hidden="0" customWidth="1"/>
    <x:col min="11" max="11" width="11.880000114440918" hidden="0" customWidth="1"/>
    <x:col min="12" max="12" width="11.880000114440918" hidden="0" customWidth="1"/>
    <x:col min="13" max="13" width="11.880000114440918" hidden="0" customWidth="1"/>
  </x:cols>
  <x:sheetData>
    <x:row r="1" ht="25.5" customHeight="1">
      <x:c r="A1" s="41" t="str">
        <x:v>Лист 10. Точка безубыточности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</x:row>
    <x:row r="2" ht="22.5" customHeight="1">
      <x:c r="A2" s="43" t="str">
        <x:v>Сколько платящих пользователей нужно, чтобы покрыть постоянные расходы месяца.</x:v>
      </x:c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</x:row>
    <x:row r="3">
      <x:c r="A3" s="42"/>
      <x:c r="B3" s="42"/>
      <x:c r="C3" s="42"/>
      <x:c r="D3" s="42"/>
      <x:c r="E3" s="42"/>
      <x:c r="F3" s="42"/>
      <x:c r="G3" s="42"/>
      <x:c r="H3" s="42"/>
      <x:c r="I3" s="42"/>
      <x:c r="J3" s="42"/>
      <x:c r="K3" s="42"/>
      <x:c r="L3" s="42"/>
      <x:c r="M3" s="42"/>
    </x:row>
    <x:row r="4">
      <x:c r="A4" s="44" t="str">
        <x:v>Показатель</x:v>
      </x:c>
      <x:c r="B4" s="44" t="str">
        <x:v>М1</x:v>
      </x:c>
      <x:c r="C4" s="44" t="str">
        <x:v>М2</x:v>
      </x:c>
      <x:c r="D4" s="44" t="str">
        <x:v>М3</x:v>
      </x:c>
      <x:c r="E4" s="44" t="str">
        <x:v>М4</x:v>
      </x:c>
      <x:c r="F4" s="44" t="str">
        <x:v>М5</x:v>
      </x:c>
      <x:c r="G4" s="44" t="str">
        <x:v>М6</x:v>
      </x:c>
      <x:c r="H4" s="44" t="str">
        <x:v>М7</x:v>
      </x:c>
      <x:c r="I4" s="44" t="str">
        <x:v>М8</x:v>
      </x:c>
      <x:c r="J4" s="44" t="str">
        <x:v>М9</x:v>
      </x:c>
      <x:c r="K4" s="44" t="str">
        <x:v>М10</x:v>
      </x:c>
      <x:c r="L4" s="44" t="str">
        <x:v>М11</x:v>
      </x:c>
      <x:c r="M4" s="44" t="str">
        <x:v>М12</x:v>
      </x:c>
    </x:row>
    <x:row r="5">
      <x:c r="A5" s="45" t="str">
        <x:v>Постоянные OPEX</x:v>
      </x:c>
      <x:c r="B5" s="54" t="n">
        <x:f>'Расходы'!B24</x:f>
        <x:v>68950</x:v>
      </x:c>
      <x:c r="C5" s="54" t="n">
        <x:f>'Расходы'!C24</x:f>
        <x:v>91090</x:v>
      </x:c>
      <x:c r="D5" s="54" t="n">
        <x:f>'Расходы'!D24</x:f>
        <x:v>114300</x:v>
      </x:c>
      <x:c r="E5" s="54" t="n">
        <x:f>'Расходы'!E24</x:f>
        <x:v>148150</x:v>
      </x:c>
      <x:c r="F5" s="54" t="n">
        <x:f>'Расходы'!F24</x:f>
        <x:v>178500</x:v>
      </x:c>
      <x:c r="G5" s="54" t="n">
        <x:f>'Расходы'!G24</x:f>
        <x:v>213350</x:v>
      </x:c>
      <x:c r="H5" s="54" t="n">
        <x:f>'Расходы'!H24</x:f>
        <x:v>245550</x:v>
      </x:c>
      <x:c r="I5" s="54" t="n">
        <x:f>'Расходы'!I24</x:f>
        <x:v>279750</x:v>
      </x:c>
      <x:c r="J5" s="54" t="n">
        <x:f>'Расходы'!J24</x:f>
        <x:v>311950</x:v>
      </x:c>
      <x:c r="K5" s="54" t="n">
        <x:f>'Расходы'!K24</x:f>
        <x:v>342150</x:v>
      </x:c>
      <x:c r="L5" s="54" t="n">
        <x:f>'Расходы'!L24</x:f>
        <x:v>374350</x:v>
      </x:c>
      <x:c r="M5" s="54" t="n">
        <x:f>'Расходы'!M24</x:f>
        <x:v>422250</x:v>
      </x:c>
    </x:row>
    <x:row r="6">
      <x:c r="A6" s="45" t="str">
        <x:v>ARPU</x:v>
      </x:c>
      <x:c r="B6" s="54" t="n">
        <x:f>'Unit-экономика'!B8</x:f>
        <x:v>132.401178</x:v>
      </x:c>
      <x:c r="C6" s="54" t="n">
        <x:f>'Unit-экономика'!C8</x:f>
        <x:v>124.12610437500001</x:v>
      </x:c>
      <x:c r="D6" s="54" t="n">
        <x:f>'Unit-экономика'!D8</x:f>
        <x:v>126.38294263636364</x:v>
      </x:c>
      <x:c r="E6" s="54" t="n">
        <x:f>'Unit-экономика'!E8</x:f>
        <x:v>133.1054395851064</x:v>
      </x:c>
      <x:c r="F6" s="54" t="n">
        <x:f>'Unit-экономика'!F8</x:f>
        <x:v>137.80530771428573</x:v>
      </x:c>
      <x:c r="G6" s="54" t="n">
        <x:f>'Unit-экономика'!G8</x:f>
        <x:v>139.53047220000002</x:v>
      </x:c>
      <x:c r="H6" s="54" t="n">
        <x:f>'Unit-экономика'!H8</x:f>
        <x:v>140.93411510906517</x:v>
      </x:c>
      <x:c r="I6" s="54" t="n">
        <x:f>'Unit-экономика'!I8</x:f>
        <x:v>142.0666799828711</x:v>
      </x:c>
      <x:c r="J6" s="54" t="n">
        <x:f>'Unit-экономика'!J8</x:f>
        <x:v>143.53583364220185</x:v>
      </x:c>
      <x:c r="K6" s="54" t="n">
        <x:f>'Unit-экономика'!K8</x:f>
        <x:v>145.20288130331124</x:v>
      </x:c>
      <x:c r="L6" s="54" t="n">
        <x:f>'Unit-экономика'!L8</x:f>
        <x:v>147.42886319176202</x:v>
      </x:c>
      <x:c r="M6" s="54" t="n">
        <x:f>'Unit-экономика'!M8</x:f>
        <x:v>149.56103860703618</x:v>
      </x:c>
    </x:row>
    <x:row r="7">
      <x:c r="A7" s="45" t="str">
        <x:v>Variable cost / payer</x:v>
      </x:c>
      <x:c r="B7" s="54" t="n">
        <x:f>IFERROR('Расходы'!B23/'Конверсии по тарифам'!B25,0)</x:f>
        <x:v>70.93699481</x:v>
      </x:c>
      <x:c r="C7" s="54" t="n">
        <x:f>IFERROR('Расходы'!C23/'Конверсии по тарифам'!C25,0)</x:f>
        <x:v>70.93517611250002</x:v>
      </x:c>
      <x:c r="D7" s="54" t="n">
        <x:f>IFERROR('Расходы'!D23/'Конверсии по тарифам'!D25,0)</x:f>
        <x:v>64.99845146409092</x:v>
      </x:c>
      <x:c r="E7" s="54" t="n">
        <x:f>IFERROR('Расходы'!E23/'Конверсии по тарифам'!E25,0)</x:f>
        <x:v>63.29978096351065</x:v>
      </x:c>
      <x:c r="F7" s="54" t="n">
        <x:f>IFERROR('Расходы'!F23/'Конверсии по тарифам'!F25,0)</x:f>
        <x:v>62.06924849765307</x:v>
      </x:c>
      <x:c r="G7" s="54" t="n">
        <x:f>IFERROR('Расходы'!G23/'Конверсии по тарифам'!G25,0)</x:f>
        <x:v>60.18082607553846</x:v>
      </x:c>
      <x:c r="H7" s="54" t="n">
        <x:f>IFERROR('Расходы'!H23/'Конверсии по тарифам'!H25,0)</x:f>
        <x:v>58.63484062094901</x:v>
      </x:c>
      <x:c r="I7" s="54" t="n">
        <x:f>IFERROR('Расходы'!I23/'Конверсии по тарифам'!I25,0)</x:f>
        <x:v>56.89417573199838</x:v>
      </x:c>
      <x:c r="J7" s="54" t="n">
        <x:f>IFERROR('Расходы'!J23/'Конверсии по тарифам'!J25,0)</x:f>
        <x:v>55.46716499853211</x:v>
      </x:c>
      <x:c r="K7" s="54" t="n">
        <x:f>IFERROR('Расходы'!K23/'Конверсии по тарифам'!K25,0)</x:f>
        <x:v>54.23701097470862</x:v>
      </x:c>
      <x:c r="L7" s="54" t="n">
        <x:f>IFERROR('Расходы'!L23/'Конверсии по тарифам'!L25,0)</x:f>
        <x:v>53.21221701703891</x:v>
      </x:c>
      <x:c r="M7" s="54" t="n">
        <x:f>IFERROR('Расходы'!M23/'Конверсии по тарифам'!M25,0)</x:f>
        <x:v>52.391753907387994</x:v>
      </x:c>
    </x:row>
    <x:row r="8">
      <x:c r="A8" s="45" t="str">
        <x:v>Contribution / payer</x:v>
      </x:c>
      <x:c r="B8" s="54" t="n">
        <x:f>MAX(0,B6-B7-(B6*'Исходные данные'!$B$24))</x:f>
        <x:v>53.52011250999999</x:v>
      </x:c>
      <x:c r="C8" s="54" t="n">
        <x:f>MAX(0,C6-C7-(C6*'Исходные данные'!$B$24))</x:f>
        <x:v>45.74336199999999</x:v>
      </x:c>
      <x:c r="D8" s="54" t="n">
        <x:f>MAX(0,D6-D7-(D6*'Исходные данные'!$B$24))</x:f>
        <x:v>53.8015146140909</x:v>
      </x:c>
      <x:c r="E8" s="54" t="n">
        <x:f>MAX(0,E6-E7-(E6*'Исходные данные'!$B$24))</x:f>
        <x:v>61.81933224648938</x:v>
      </x:c>
      <x:c r="F8" s="54" t="n">
        <x:f>MAX(0,F6-F7-(F6*'Исходные данные'!$B$24))</x:f>
        <x:v>67.46774075377553</x:v>
      </x:c>
      <x:c r="G8" s="54" t="n">
        <x:f>MAX(0,G6-G7-(G6*'Исходные данные'!$B$24))</x:f>
        <x:v>70.97781779246155</x:v>
      </x:c>
      <x:c r="H8" s="54" t="n">
        <x:f>MAX(0,H6-H7-(H6*'Исходные данные'!$B$24))</x:f>
        <x:v>73.84322758157225</x:v>
      </x:c>
      <x:c r="I8" s="54" t="n">
        <x:f>MAX(0,I6-I7-(I6*'Исходные данные'!$B$24))</x:f>
        <x:v>76.64850345190045</x:v>
      </x:c>
      <x:c r="J8" s="54" t="n">
        <x:f>MAX(0,J6-J7-(J6*'Исходные данные'!$B$24))</x:f>
        <x:v>79.45651862513763</x:v>
      </x:c>
      <x:c r="K8" s="54" t="n">
        <x:f>MAX(0,K6-K7-(K6*'Исходные данные'!$B$24))</x:f>
        <x:v>82.25369745040395</x:v>
      </x:c>
      <x:c r="L8" s="54" t="n">
        <x:f>MAX(0,L6-L7-(L6*'Исходные данные'!$B$24))</x:f>
        <x:v>85.37091438321738</x:v>
      </x:c>
      <x:c r="M8" s="54" t="n">
        <x:f>MAX(0,M6-M7-(M6*'Исходные данные'!$B$24))</x:f>
        <x:v>88.19562238322601</x:v>
      </x:c>
    </x:row>
    <x:row r="9">
      <x:c r="A9" s="45" t="str">
        <x:v>Contribution Margin</x:v>
      </x:c>
      <x:c r="B9" s="63" t="n">
        <x:f>IFERROR(B8/B6,0)</x:f>
        <x:v>0.4042268605042169</x:v>
      </x:c>
      <x:c r="C9" s="63" t="n">
        <x:f>IFERROR(C8/C6,0)</x:f>
        <x:v>0.36852330321915</x:v>
      </x:c>
      <x:c r="D9" s="63" t="n">
        <x:f>IFERROR(D8/D6,0)</x:f>
        <x:v>0.42570234156433395</x:v>
      </x:c>
      <x:c r="E9" s="63" t="n">
        <x:f>IFERROR(E8/E6,0)</x:f>
        <x:v>0.46443881211152654</x:v>
      </x:c>
      <x:c r="F9" s="63" t="n">
        <x:f>IFERROR(F8/F6,0)</x:f>
        <x:v>0.4895873887068097</x:v>
      </x:c>
      <x:c r="G9" s="63" t="n">
        <x:f>IFERROR(G8/G6,0)</x:f>
        <x:v>0.5086904435521686</x:v>
      </x:c>
      <x:c r="H9" s="63" t="n">
        <x:f>IFERROR(H8/H6,0)</x:f>
        <x:v>0.523955662008641</x:v>
      </x:c>
      <x:c r="I9" s="63" t="n">
        <x:f>IFERROR(I8/I6,0)</x:f>
        <x:v>0.5395248446795682</x:v>
      </x:c>
      <x:c r="J9" s="63" t="n">
        <x:f>IFERROR(J8/J6,0)</x:f>
        <x:v>0.5535657306537295</x:v>
      </x:c>
      <x:c r="K9" s="63" t="n">
        <x:f>IFERROR(K8/K6,0)</x:f>
        <x:v>0.5664742786927618</x:v>
      </x:c>
      <x:c r="L9" s="63" t="n">
        <x:f>IFERROR(L8/L6,0)</x:f>
        <x:v>0.5790651337531829</x:v>
      </x:c>
      <x:c r="M9" s="63" t="n">
        <x:f>IFERROR(M8/M6,0)</x:f>
        <x:v>0.5896965092289537</x:v>
      </x:c>
    </x:row>
    <x:row r="10">
      <x:c r="A10" s="45" t="str">
        <x:v>Break-even paying clients</x:v>
      </x:c>
      <x:c r="B10" s="62" t="n">
        <x:f>IF(B8&gt;0,ROUNDUP(B5/B8,0),999999)</x:f>
        <x:v>1289</x:v>
      </x:c>
      <x:c r="C10" s="62" t="n">
        <x:f>IF(C8&gt;0,ROUNDUP(C5/C8,0),999999)</x:f>
        <x:v>1992</x:v>
      </x:c>
      <x:c r="D10" s="62" t="n">
        <x:f>IF(D8&gt;0,ROUNDUP(D5/D8,0),999999)</x:f>
        <x:v>2125</x:v>
      </x:c>
      <x:c r="E10" s="62" t="n">
        <x:f>IF(E8&gt;0,ROUNDUP(E5/E8,0),999999)</x:f>
        <x:v>2397</x:v>
      </x:c>
      <x:c r="F10" s="62" t="n">
        <x:f>IF(F8&gt;0,ROUNDUP(F5/F8,0),999999)</x:f>
        <x:v>2646</x:v>
      </x:c>
      <x:c r="G10" s="62" t="n">
        <x:f>IF(G8&gt;0,ROUNDUP(G5/G8,0),999999)</x:f>
        <x:v>3006</x:v>
      </x:c>
      <x:c r="H10" s="62" t="n">
        <x:f>IF(H8&gt;0,ROUNDUP(H5/H8,0),999999)</x:f>
        <x:v>3326</x:v>
      </x:c>
      <x:c r="I10" s="62" t="n">
        <x:f>IF(I8&gt;0,ROUNDUP(I5/I8,0),999999)</x:f>
        <x:v>3650</x:v>
      </x:c>
      <x:c r="J10" s="62" t="n">
        <x:f>IF(J8&gt;0,ROUNDUP(J5/J8,0),999999)</x:f>
        <x:v>3927</x:v>
      </x:c>
      <x:c r="K10" s="62" t="n">
        <x:f>IF(K8&gt;0,ROUNDUP(K5/K8,0),999999)</x:f>
        <x:v>4160</x:v>
      </x:c>
      <x:c r="L10" s="62" t="n">
        <x:f>IF(L8&gt;0,ROUNDUP(L5/L8,0),999999)</x:f>
        <x:v>4385</x:v>
      </x:c>
      <x:c r="M10" s="62" t="n">
        <x:f>IF(M8&gt;0,ROUNDUP(M5/M8,0),999999)</x:f>
        <x:v>4788</x:v>
      </x:c>
    </x:row>
    <x:row r="11">
      <x:c r="A11" s="45" t="str">
        <x:v>Факт paying clients</x:v>
      </x:c>
      <x:c r="B11" s="62" t="n">
        <x:f>'Конверсии по тарифам'!B25</x:f>
        <x:v>3</x:v>
      </x:c>
      <x:c r="C11" s="62" t="n">
        <x:f>'Конверсии по тарифам'!C25</x:f>
        <x:v>8</x:v>
      </x:c>
      <x:c r="D11" s="62" t="n">
        <x:f>'Конверсии по тарифам'!D25</x:f>
        <x:v>22</x:v>
      </x:c>
      <x:c r="E11" s="62" t="n">
        <x:f>'Конверсии по тарифам'!E25</x:f>
        <x:v>47</x:v>
      </x:c>
      <x:c r="F11" s="62" t="n">
        <x:f>'Конверсии по тарифам'!F25</x:f>
        <x:v>98</x:v>
      </x:c>
      <x:c r="G11" s="62" t="n">
        <x:f>'Конверсии по тарифам'!G25</x:f>
        <x:v>195</x:v>
      </x:c>
      <x:c r="H11" s="62" t="n">
        <x:f>'Конверсии по тарифам'!H25</x:f>
        <x:v>353</x:v>
      </x:c>
      <x:c r="I11" s="62" t="n">
        <x:f>'Конверсии по тарифам'!I25</x:f>
        <x:v>613</x:v>
      </x:c>
      <x:c r="J11" s="62" t="n">
        <x:f>'Конверсии по тарифам'!J25</x:f>
        <x:v>981</x:v>
      </x:c>
      <x:c r="K11" s="62" t="n">
        <x:f>'Конверсии по тарифам'!K25</x:f>
        <x:v>1510</x:v>
      </x:c>
      <x:c r="L11" s="62" t="n">
        <x:f>'Конверсии по тарифам'!L25</x:f>
        <x:v>2185</x:v>
      </x:c>
      <x:c r="M11" s="62" t="n">
        <x:f>'Конверсии по тарифам'!M25</x:f>
        <x:v>3013</x:v>
      </x:c>
    </x:row>
    <x:row r="12">
      <x:c r="A12" s="45" t="str">
        <x:v>Gap до break-even</x:v>
      </x:c>
      <x:c r="B12" s="62" t="n">
        <x:f>MAX(0,B10-B11)</x:f>
        <x:v>1286</x:v>
      </x:c>
      <x:c r="C12" s="62" t="n">
        <x:f>MAX(0,C10-C11)</x:f>
        <x:v>1984</x:v>
      </x:c>
      <x:c r="D12" s="62" t="n">
        <x:f>MAX(0,D10-D11)</x:f>
        <x:v>2103</x:v>
      </x:c>
      <x:c r="E12" s="62" t="n">
        <x:f>MAX(0,E10-E11)</x:f>
        <x:v>2350</x:v>
      </x:c>
      <x:c r="F12" s="62" t="n">
        <x:f>MAX(0,F10-F11)</x:f>
        <x:v>2548</x:v>
      </x:c>
      <x:c r="G12" s="62" t="n">
        <x:f>MAX(0,G10-G11)</x:f>
        <x:v>2811</x:v>
      </x:c>
      <x:c r="H12" s="62" t="n">
        <x:f>MAX(0,H10-H11)</x:f>
        <x:v>2973</x:v>
      </x:c>
      <x:c r="I12" s="62" t="n">
        <x:f>MAX(0,I10-I11)</x:f>
        <x:v>3037</x:v>
      </x:c>
      <x:c r="J12" s="62" t="n">
        <x:f>MAX(0,J10-J11)</x:f>
        <x:v>2946</x:v>
      </x:c>
      <x:c r="K12" s="62" t="n">
        <x:f>MAX(0,K10-K11)</x:f>
        <x:v>2650</x:v>
      </x:c>
      <x:c r="L12" s="62" t="n">
        <x:f>MAX(0,L10-L11)</x:f>
        <x:v>2200</x:v>
      </x:c>
      <x:c r="M12" s="62" t="n">
        <x:f>MAX(0,M10-M11)</x:f>
        <x:v>1775</x:v>
      </x:c>
    </x:row>
    <x:row r="13">
      <x:c r="A13" s="45" t="str">
        <x:v>Статус</x:v>
      </x:c>
      <x:c r="B13" s="65" t="str">
        <x:f>IF(B11&gt;=B10,"Break-even достигнут","Нужно больше платящих")</x:f>
        <x:v>Нужно больше платящих</x:v>
      </x:c>
      <x:c r="C13" s="65" t="str">
        <x:f>IF(C11&gt;=C10,"Break-even достигнут","Нужно больше платящих")</x:f>
        <x:v>Нужно больше платящих</x:v>
      </x:c>
      <x:c r="D13" s="65" t="str">
        <x:f>IF(D11&gt;=D10,"Break-even достигнут","Нужно больше платящих")</x:f>
        <x:v>Нужно больше платящих</x:v>
      </x:c>
      <x:c r="E13" s="65" t="str">
        <x:f>IF(E11&gt;=E10,"Break-even достигнут","Нужно больше платящих")</x:f>
        <x:v>Нужно больше платящих</x:v>
      </x:c>
      <x:c r="F13" s="65" t="str">
        <x:f>IF(F11&gt;=F10,"Break-even достигнут","Нужно больше платящих")</x:f>
        <x:v>Нужно больше платящих</x:v>
      </x:c>
      <x:c r="G13" s="65" t="str">
        <x:f>IF(G11&gt;=G10,"Break-even достигнут","Нужно больше платящих")</x:f>
        <x:v>Нужно больше платящих</x:v>
      </x:c>
      <x:c r="H13" s="65" t="str">
        <x:f>IF(H11&gt;=H10,"Break-even достигнут","Нужно больше платящих")</x:f>
        <x:v>Нужно больше платящих</x:v>
      </x:c>
      <x:c r="I13" s="65" t="str">
        <x:f>IF(I11&gt;=I10,"Break-even достигнут","Нужно больше платящих")</x:f>
        <x:v>Нужно больше платящих</x:v>
      </x:c>
      <x:c r="J13" s="65" t="str">
        <x:f>IF(J11&gt;=J10,"Break-even достигнут","Нужно больше платящих")</x:f>
        <x:v>Нужно больше платящих</x:v>
      </x:c>
      <x:c r="K13" s="65" t="str">
        <x:f>IF(K11&gt;=K10,"Break-even достигнут","Нужно больше платящих")</x:f>
        <x:v>Нужно больше платящих</x:v>
      </x:c>
      <x:c r="L13" s="65" t="str">
        <x:f>IF(L11&gt;=L10,"Break-even достигнут","Нужно больше платящих")</x:f>
        <x:v>Нужно больше платящих</x:v>
      </x:c>
      <x:c r="M13" s="65" t="str">
        <x:f>IF(M11&gt;=M10,"Break-even достигнут","Нужно больше платящих")</x:f>
        <x:v>Нужно больше платящих</x:v>
      </x:c>
    </x:row>
    <x:row r="14">
      <x:c r="A14" s="42"/>
      <x:c r="B14" s="42"/>
      <x:c r="C14" s="42"/>
      <x:c r="D14" s="42"/>
      <x:c r="E14" s="42"/>
      <x:c r="F14" s="42"/>
      <x:c r="G14" s="42"/>
      <x:c r="H14" s="42"/>
      <x:c r="I14" s="42"/>
      <x:c r="J14" s="42"/>
      <x:c r="K14" s="42"/>
      <x:c r="L14" s="42"/>
      <x:c r="M14" s="42"/>
    </x:row>
    <x:row r="15">
      <x:c r="A15" s="42"/>
      <x:c r="B15" s="42"/>
      <x:c r="C15" s="42"/>
      <x:c r="D15" s="42"/>
      <x:c r="E15" s="42"/>
      <x:c r="F15" s="42"/>
      <x:c r="G15" s="42"/>
      <x:c r="H15" s="42"/>
      <x:c r="I15" s="42"/>
      <x:c r="J15" s="42"/>
      <x:c r="K15" s="42"/>
      <x:c r="L15" s="42"/>
      <x:c r="M15" s="42"/>
    </x:row>
    <x:row r="16">
      <x:c r="A16" s="42"/>
      <x:c r="B16" s="42"/>
      <x:c r="C16" s="42"/>
      <x:c r="D16" s="42"/>
      <x:c r="E16" s="42"/>
      <x:c r="F16" s="42"/>
      <x:c r="G16" s="42"/>
      <x:c r="H16" s="42"/>
      <x:c r="I16" s="42"/>
      <x:c r="J16" s="42"/>
      <x:c r="K16" s="42"/>
      <x:c r="L16" s="42"/>
      <x:c r="M16" s="42"/>
    </x:row>
    <x:row r="17">
      <x:c r="A17" s="42"/>
      <x:c r="B17" s="42"/>
      <x:c r="C17" s="42"/>
      <x:c r="D17" s="42"/>
      <x:c r="E17" s="42"/>
      <x:c r="F17" s="42"/>
      <x:c r="G17" s="42"/>
      <x:c r="H17" s="42"/>
      <x:c r="I17" s="42"/>
      <x:c r="J17" s="42"/>
      <x:c r="K17" s="42"/>
      <x:c r="L17" s="42"/>
      <x:c r="M17" s="42"/>
    </x:row>
    <x:row r="18">
      <x:c r="A18" s="42"/>
      <x:c r="B18" s="42"/>
      <x:c r="C18" s="42"/>
      <x:c r="D18" s="42"/>
      <x:c r="E18" s="42"/>
      <x:c r="F18" s="42"/>
      <x:c r="G18" s="42"/>
      <x:c r="H18" s="42"/>
      <x:c r="I18" s="42"/>
      <x:c r="J18" s="42"/>
      <x:c r="K18" s="42"/>
      <x:c r="L18" s="42"/>
      <x:c r="M18" s="42"/>
    </x:row>
    <x:row r="19">
      <x:c r="A19" s="42"/>
      <x:c r="B19" s="42"/>
      <x:c r="C19" s="42"/>
      <x:c r="D19" s="42"/>
      <x:c r="E19" s="42"/>
      <x:c r="F19" s="42"/>
      <x:c r="G19" s="42"/>
      <x:c r="H19" s="42"/>
      <x:c r="I19" s="42"/>
      <x:c r="J19" s="42"/>
      <x:c r="K19" s="42"/>
      <x:c r="L19" s="42"/>
      <x:c r="M19" s="42"/>
    </x:row>
    <x:row r="20">
      <x:c r="A20" s="42"/>
      <x:c r="B20" s="42"/>
      <x:c r="C20" s="42"/>
      <x:c r="D20" s="42"/>
      <x:c r="E20" s="42"/>
      <x:c r="F20" s="42"/>
      <x:c r="G20" s="42"/>
      <x:c r="H20" s="42"/>
      <x:c r="I20" s="42"/>
      <x:c r="J20" s="42"/>
      <x:c r="K20" s="42"/>
      <x:c r="L20" s="42"/>
      <x:c r="M20" s="42"/>
    </x:row>
    <x:row r="21">
      <x:c r="A21" s="42"/>
      <x:c r="B21" s="42"/>
      <x:c r="C21" s="42"/>
      <x:c r="D21" s="42"/>
      <x:c r="E21" s="42"/>
      <x:c r="F21" s="42"/>
      <x:c r="G21" s="42"/>
      <x:c r="H21" s="42"/>
      <x:c r="I21" s="42"/>
      <x:c r="J21" s="42"/>
      <x:c r="K21" s="42"/>
      <x:c r="L21" s="42"/>
      <x:c r="M21" s="42"/>
    </x:row>
    <x:row r="22">
      <x:c r="A22" s="42"/>
      <x:c r="B22" s="42"/>
      <x:c r="C22" s="42"/>
      <x:c r="D22" s="42"/>
      <x:c r="E22" s="42"/>
      <x:c r="F22" s="42"/>
      <x:c r="G22" s="42"/>
      <x:c r="H22" s="42"/>
      <x:c r="I22" s="42"/>
      <x:c r="J22" s="42"/>
      <x:c r="K22" s="42"/>
      <x:c r="L22" s="42"/>
      <x:c r="M22" s="42"/>
    </x:row>
    <x:row r="23">
      <x:c r="A23" s="42"/>
      <x:c r="B23" s="42"/>
      <x:c r="C23" s="42"/>
      <x:c r="D23" s="42"/>
      <x:c r="E23" s="42"/>
      <x:c r="F23" s="42"/>
      <x:c r="G23" s="42"/>
      <x:c r="H23" s="42"/>
      <x:c r="I23" s="42"/>
      <x:c r="J23" s="42"/>
      <x:c r="K23" s="42"/>
      <x:c r="L23" s="42"/>
      <x:c r="M23" s="42"/>
    </x:row>
    <x:row r="24">
      <x:c r="A24" s="42"/>
      <x:c r="B24" s="42"/>
      <x:c r="C24" s="42"/>
      <x:c r="D24" s="42"/>
      <x:c r="E24" s="42"/>
      <x:c r="F24" s="42"/>
      <x:c r="G24" s="42"/>
      <x:c r="H24" s="42"/>
      <x:c r="I24" s="42"/>
      <x:c r="J24" s="42"/>
      <x:c r="K24" s="42"/>
      <x:c r="L24" s="42"/>
      <x:c r="M24" s="42"/>
    </x:row>
    <x:row r="25">
      <x:c r="A25" s="42"/>
      <x:c r="B25" s="42"/>
      <x:c r="C25" s="42"/>
      <x:c r="D25" s="42"/>
      <x:c r="E25" s="42"/>
      <x:c r="F25" s="42"/>
      <x:c r="G25" s="42"/>
      <x:c r="H25" s="42"/>
      <x:c r="I25" s="42"/>
      <x:c r="J25" s="42"/>
      <x:c r="K25" s="42"/>
      <x:c r="L25" s="42"/>
      <x:c r="M25" s="42"/>
    </x:row>
    <x:row r="26">
      <x:c r="A26" s="42"/>
      <x:c r="B26" s="42"/>
      <x:c r="C26" s="42"/>
      <x:c r="D26" s="42"/>
      <x:c r="E26" s="42"/>
      <x:c r="F26" s="42"/>
      <x:c r="G26" s="42"/>
      <x:c r="H26" s="42"/>
      <x:c r="I26" s="42"/>
      <x:c r="J26" s="42"/>
      <x:c r="K26" s="42"/>
      <x:c r="L26" s="42"/>
      <x:c r="M26" s="42"/>
    </x:row>
    <x:row r="27">
      <x:c r="A27" s="42"/>
      <x:c r="B27" s="42"/>
      <x:c r="C27" s="42"/>
      <x:c r="D27" s="42"/>
      <x:c r="E27" s="42"/>
      <x:c r="F27" s="42"/>
      <x:c r="G27" s="42"/>
      <x:c r="H27" s="42"/>
      <x:c r="I27" s="42"/>
      <x:c r="J27" s="42"/>
      <x:c r="K27" s="42"/>
      <x:c r="L27" s="42"/>
      <x:c r="M27" s="42"/>
    </x:row>
    <x:row r="28">
      <x:c r="A28" s="42"/>
      <x:c r="B28" s="42"/>
      <x:c r="C28" s="42"/>
      <x:c r="D28" s="42"/>
      <x:c r="E28" s="42"/>
      <x:c r="F28" s="42"/>
      <x:c r="G28" s="42"/>
      <x:c r="H28" s="42"/>
      <x:c r="I28" s="42"/>
      <x:c r="J28" s="42"/>
      <x:c r="K28" s="42"/>
      <x:c r="L28" s="42"/>
      <x:c r="M28" s="42"/>
    </x:row>
    <x:row r="29">
      <x:c r="A29" s="42"/>
      <x:c r="B29" s="42"/>
      <x:c r="C29" s="42"/>
      <x:c r="D29" s="42"/>
      <x:c r="E29" s="42"/>
      <x:c r="F29" s="42"/>
      <x:c r="G29" s="42"/>
      <x:c r="H29" s="42"/>
      <x:c r="I29" s="42"/>
      <x:c r="J29" s="42"/>
      <x:c r="K29" s="42"/>
      <x:c r="L29" s="42"/>
      <x:c r="M29" s="42"/>
    </x:row>
    <x:row r="30">
      <x:c r="A30" s="42"/>
      <x:c r="B30" s="42"/>
      <x:c r="C30" s="42"/>
      <x:c r="D30" s="42"/>
      <x:c r="E30" s="42"/>
      <x:c r="F30" s="42"/>
      <x:c r="G30" s="42"/>
      <x:c r="H30" s="42"/>
      <x:c r="I30" s="42"/>
      <x:c r="J30" s="42"/>
      <x:c r="K30" s="42"/>
      <x:c r="L30" s="42"/>
      <x:c r="M30" s="42"/>
    </x:row>
    <x:row r="31">
      <x:c r="A31" s="42"/>
      <x:c r="B31" s="42"/>
      <x:c r="C31" s="42"/>
      <x:c r="D31" s="42"/>
      <x:c r="E31" s="42"/>
      <x:c r="F31" s="42"/>
      <x:c r="G31" s="42"/>
      <x:c r="H31" s="42"/>
      <x:c r="I31" s="42"/>
      <x:c r="J31" s="42"/>
      <x:c r="K31" s="42"/>
      <x:c r="L31" s="42"/>
      <x:c r="M31" s="42"/>
    </x:row>
    <x:row r="32">
      <x:c r="A32" s="42"/>
      <x:c r="B32" s="42"/>
      <x:c r="C32" s="42"/>
      <x:c r="D32" s="42"/>
      <x:c r="E32" s="42"/>
      <x:c r="F32" s="42"/>
      <x:c r="G32" s="42"/>
      <x:c r="H32" s="42"/>
      <x:c r="I32" s="42"/>
      <x:c r="J32" s="42"/>
      <x:c r="K32" s="42"/>
      <x:c r="L32" s="42"/>
      <x:c r="M32" s="42"/>
    </x:row>
    <x:row r="33">
      <x:c r="A33" s="42"/>
      <x:c r="B33" s="42"/>
      <x:c r="C33" s="42"/>
      <x:c r="D33" s="42"/>
      <x:c r="E33" s="42"/>
      <x:c r="F33" s="42"/>
      <x:c r="G33" s="42"/>
      <x:c r="H33" s="42"/>
      <x:c r="I33" s="42"/>
      <x:c r="J33" s="42"/>
      <x:c r="K33" s="42"/>
      <x:c r="L33" s="42"/>
      <x:c r="M33" s="42"/>
    </x:row>
    <x:row r="34">
      <x:c r="A34" s="42"/>
      <x:c r="B34" s="42"/>
      <x:c r="C34" s="42"/>
      <x:c r="D34" s="42"/>
      <x:c r="E34" s="42"/>
      <x:c r="F34" s="42"/>
      <x:c r="G34" s="42"/>
      <x:c r="H34" s="42"/>
      <x:c r="I34" s="42"/>
      <x:c r="J34" s="42"/>
      <x:c r="K34" s="42"/>
      <x:c r="L34" s="42"/>
      <x:c r="M34" s="42"/>
    </x:row>
    <x:row r="35">
      <x:c r="A35" s="42"/>
      <x:c r="B35" s="42"/>
      <x:c r="C35" s="42"/>
      <x:c r="D35" s="42"/>
      <x:c r="E35" s="42"/>
      <x:c r="F35" s="42"/>
      <x:c r="G35" s="42"/>
      <x:c r="H35" s="42"/>
      <x:c r="I35" s="42"/>
      <x:c r="J35" s="42"/>
      <x:c r="K35" s="42"/>
      <x:c r="L35" s="42"/>
      <x:c r="M35" s="42"/>
    </x:row>
    <x:row r="36">
      <x:c r="A36" s="42"/>
      <x:c r="B36" s="42"/>
      <x:c r="C36" s="42"/>
      <x:c r="D36" s="42"/>
      <x:c r="E36" s="42"/>
      <x:c r="F36" s="42"/>
      <x:c r="G36" s="42"/>
      <x:c r="H36" s="42"/>
      <x:c r="I36" s="42"/>
      <x:c r="J36" s="42"/>
      <x:c r="K36" s="42"/>
      <x:c r="L36" s="42"/>
      <x:c r="M36" s="42"/>
    </x:row>
    <x:row r="37">
      <x:c r="A37" s="42"/>
      <x:c r="B37" s="42"/>
      <x:c r="C37" s="42"/>
      <x:c r="D37" s="42"/>
      <x:c r="E37" s="42"/>
      <x:c r="F37" s="42"/>
      <x:c r="G37" s="42"/>
      <x:c r="H37" s="42"/>
      <x:c r="I37" s="42"/>
      <x:c r="J37" s="42"/>
      <x:c r="K37" s="42"/>
      <x:c r="L37" s="42"/>
      <x:c r="M37" s="42"/>
    </x:row>
    <x:row r="38">
      <x:c r="A38" s="42"/>
      <x:c r="B38" s="42"/>
      <x:c r="C38" s="42"/>
      <x:c r="D38" s="42"/>
      <x:c r="E38" s="42"/>
      <x:c r="F38" s="42"/>
      <x:c r="G38" s="42"/>
      <x:c r="H38" s="42"/>
      <x:c r="I38" s="42"/>
      <x:c r="J38" s="42"/>
      <x:c r="K38" s="42"/>
      <x:c r="L38" s="42"/>
      <x:c r="M38" s="42"/>
    </x:row>
    <x:row r="39">
      <x:c r="A39" s="42"/>
      <x:c r="B39" s="42"/>
      <x:c r="C39" s="42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</x:row>
    <x:row r="40">
      <x:c r="A40" s="42"/>
      <x:c r="B40" s="42"/>
      <x:c r="C40" s="42"/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</x:row>
    <x:row r="41">
      <x:c r="A41" s="42"/>
      <x:c r="B41" s="42"/>
      <x:c r="C41" s="42"/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</x:row>
    <x:row r="42">
      <x:c r="A42" s="42"/>
      <x:c r="B42" s="42"/>
      <x:c r="C42" s="42"/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</x:row>
    <x:row r="43">
      <x:c r="A43" s="42"/>
      <x:c r="B43" s="42"/>
      <x:c r="C43" s="42"/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</x:row>
    <x:row r="44">
      <x:c r="A44" s="42"/>
      <x:c r="B44" s="42"/>
      <x:c r="C44" s="42"/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</x:row>
    <x:row r="45">
      <x:c r="A45" s="42"/>
      <x:c r="B45" s="42"/>
      <x:c r="C45" s="42"/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</x:row>
    <x:row r="46">
      <x:c r="A46" s="42"/>
      <x:c r="B46" s="42"/>
      <x:c r="C46" s="42"/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</x:row>
    <x:row r="47">
      <x:c r="A47" s="42"/>
      <x:c r="B47" s="42"/>
      <x:c r="C47" s="42"/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</x:row>
    <x:row r="48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</x:row>
    <x:row r="49">
      <x:c r="A49" s="42"/>
      <x:c r="B49" s="42"/>
      <x:c r="C49" s="42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</x:row>
    <x:row r="50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</x:row>
    <x:row r="51">
      <x:c r="A51" s="42"/>
      <x:c r="B51" s="42"/>
      <x:c r="C51" s="42"/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</x:row>
    <x:row r="52">
      <x:c r="A52" s="42"/>
      <x:c r="B52" s="42"/>
      <x:c r="C52" s="42"/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</x:row>
    <x:row r="53">
      <x:c r="A53" s="42"/>
      <x:c r="B53" s="42"/>
      <x:c r="C53" s="42"/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</x:row>
    <x:row r="54">
      <x:c r="A54" s="42"/>
      <x:c r="B54" s="42"/>
      <x:c r="C54" s="42"/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</x:row>
    <x:row r="55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</x:row>
    <x:row r="56">
      <x:c r="A56" s="42"/>
      <x:c r="B56" s="42"/>
      <x:c r="C56" s="42"/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</x:row>
    <x:row r="57">
      <x:c r="A57" s="42"/>
      <x:c r="B57" s="42"/>
      <x:c r="C57" s="42"/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</x:row>
    <x:row r="58">
      <x:c r="A58" s="42"/>
      <x:c r="B58" s="42"/>
      <x:c r="C58" s="42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</x:row>
    <x:row r="59">
      <x:c r="A59" s="42"/>
      <x:c r="B59" s="42"/>
      <x:c r="C59" s="42"/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</x:row>
    <x:row r="60">
      <x:c r="A60" s="42"/>
      <x:c r="B60" s="42"/>
      <x:c r="C60" s="42"/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</x:row>
    <x:row r="61">
      <x:c r="A61" s="42"/>
      <x:c r="B61" s="42"/>
      <x:c r="C61" s="42"/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</x:row>
    <x:row r="62">
      <x:c r="A62" s="42"/>
      <x:c r="B62" s="42"/>
      <x:c r="C62" s="42"/>
      <x:c r="D62" s="42"/>
      <x:c r="E62" s="42"/>
      <x:c r="F62" s="42"/>
      <x:c r="G62" s="42"/>
      <x:c r="H62" s="42"/>
      <x:c r="I62" s="42"/>
      <x:c r="J62" s="42"/>
      <x:c r="K62" s="42"/>
      <x:c r="L62" s="42"/>
      <x:c r="M62" s="42"/>
    </x:row>
    <x:row r="63">
      <x:c r="A63" s="42"/>
      <x:c r="B63" s="42"/>
      <x:c r="C63" s="42"/>
      <x:c r="D63" s="42"/>
      <x:c r="E63" s="42"/>
      <x:c r="F63" s="42"/>
      <x:c r="G63" s="42"/>
      <x:c r="H63" s="42"/>
      <x:c r="I63" s="42"/>
      <x:c r="J63" s="42"/>
      <x:c r="K63" s="42"/>
      <x:c r="L63" s="42"/>
      <x:c r="M63" s="42"/>
    </x:row>
    <x:row r="64">
      <x:c r="A64" s="42"/>
      <x:c r="B64" s="42"/>
      <x:c r="C64" s="42"/>
      <x:c r="D64" s="42"/>
      <x:c r="E64" s="42"/>
      <x:c r="F64" s="42"/>
      <x:c r="G64" s="42"/>
      <x:c r="H64" s="42"/>
      <x:c r="I64" s="42"/>
      <x:c r="J64" s="42"/>
      <x:c r="K64" s="42"/>
      <x:c r="L64" s="42"/>
      <x:c r="M64" s="42"/>
    </x:row>
    <x:row r="65">
      <x:c r="A65" s="42"/>
      <x:c r="B65" s="42"/>
      <x:c r="C65" s="42"/>
      <x:c r="D65" s="42"/>
      <x:c r="E65" s="42"/>
      <x:c r="F65" s="42"/>
      <x:c r="G65" s="42"/>
      <x:c r="H65" s="42"/>
      <x:c r="I65" s="42"/>
      <x:c r="J65" s="42"/>
      <x:c r="K65" s="42"/>
      <x:c r="L65" s="42"/>
      <x:c r="M65" s="42"/>
    </x:row>
    <x:row r="66">
      <x:c r="A66" s="42"/>
      <x:c r="B66" s="42"/>
      <x:c r="C66" s="42"/>
      <x:c r="D66" s="42"/>
      <x:c r="E66" s="42"/>
      <x:c r="F66" s="42"/>
      <x:c r="G66" s="42"/>
      <x:c r="H66" s="42"/>
      <x:c r="I66" s="42"/>
      <x:c r="J66" s="42"/>
      <x:c r="K66" s="42"/>
      <x:c r="L66" s="42"/>
      <x:c r="M66" s="42"/>
    </x:row>
    <x:row r="67">
      <x:c r="A67" s="42"/>
      <x:c r="B67" s="42"/>
      <x:c r="C67" s="42"/>
      <x:c r="D67" s="42"/>
      <x:c r="E67" s="42"/>
      <x:c r="F67" s="42"/>
      <x:c r="G67" s="42"/>
      <x:c r="H67" s="42"/>
      <x:c r="I67" s="42"/>
      <x:c r="J67" s="42"/>
      <x:c r="K67" s="42"/>
      <x:c r="L67" s="42"/>
      <x:c r="M67" s="42"/>
    </x:row>
    <x:row r="68">
      <x:c r="A68" s="42"/>
      <x:c r="B68" s="42"/>
      <x:c r="C68" s="42"/>
      <x:c r="D68" s="42"/>
      <x:c r="E68" s="42"/>
      <x:c r="F68" s="42"/>
      <x:c r="G68" s="42"/>
      <x:c r="H68" s="42"/>
      <x:c r="I68" s="42"/>
      <x:c r="J68" s="42"/>
      <x:c r="K68" s="42"/>
      <x:c r="L68" s="42"/>
      <x:c r="M68" s="42"/>
    </x:row>
    <x:row r="69">
      <x:c r="A69" s="42"/>
      <x:c r="B69" s="42"/>
      <x:c r="C69" s="42"/>
      <x:c r="D69" s="42"/>
      <x:c r="E69" s="42"/>
      <x:c r="F69" s="42"/>
      <x:c r="G69" s="42"/>
      <x:c r="H69" s="42"/>
      <x:c r="I69" s="42"/>
      <x:c r="J69" s="42"/>
      <x:c r="K69" s="42"/>
      <x:c r="L69" s="42"/>
      <x:c r="M69" s="42"/>
    </x:row>
    <x:row r="70">
      <x:c r="A70" s="42"/>
      <x:c r="B70" s="42"/>
      <x:c r="C70" s="42"/>
      <x:c r="D70" s="42"/>
      <x:c r="E70" s="42"/>
      <x:c r="F70" s="42"/>
      <x:c r="G70" s="42"/>
      <x:c r="H70" s="42"/>
      <x:c r="I70" s="42"/>
      <x:c r="J70" s="42"/>
      <x:c r="K70" s="42"/>
      <x:c r="L70" s="42"/>
      <x:c r="M70" s="42"/>
    </x:row>
    <x:row r="71">
      <x:c r="A71" s="42"/>
      <x:c r="B71" s="42"/>
      <x:c r="C71" s="42"/>
      <x:c r="D71" s="42"/>
      <x:c r="E71" s="42"/>
      <x:c r="F71" s="42"/>
      <x:c r="G71" s="42"/>
      <x:c r="H71" s="42"/>
      <x:c r="I71" s="42"/>
      <x:c r="J71" s="42"/>
      <x:c r="K71" s="42"/>
      <x:c r="L71" s="42"/>
      <x:c r="M71" s="42"/>
    </x:row>
    <x:row r="72">
      <x:c r="A72" s="42"/>
      <x:c r="B72" s="42"/>
      <x:c r="C72" s="42"/>
      <x:c r="D72" s="42"/>
      <x:c r="E72" s="42"/>
      <x:c r="F72" s="42"/>
      <x:c r="G72" s="42"/>
      <x:c r="H72" s="42"/>
      <x:c r="I72" s="42"/>
      <x:c r="J72" s="42"/>
      <x:c r="K72" s="42"/>
      <x:c r="L72" s="42"/>
      <x:c r="M72" s="42"/>
    </x:row>
    <x:row r="73">
      <x:c r="A73" s="42"/>
      <x:c r="B73" s="42"/>
      <x:c r="C73" s="42"/>
      <x:c r="D73" s="42"/>
      <x:c r="E73" s="42"/>
      <x:c r="F73" s="42"/>
      <x:c r="G73" s="42"/>
      <x:c r="H73" s="42"/>
      <x:c r="I73" s="42"/>
      <x:c r="J73" s="42"/>
      <x:c r="K73" s="42"/>
      <x:c r="L73" s="42"/>
      <x:c r="M73" s="42"/>
    </x:row>
    <x:row r="74">
      <x:c r="A74" s="42"/>
      <x:c r="B74" s="42"/>
      <x:c r="C74" s="42"/>
      <x:c r="D74" s="42"/>
      <x:c r="E74" s="42"/>
      <x:c r="F74" s="42"/>
      <x:c r="G74" s="42"/>
      <x:c r="H74" s="42"/>
      <x:c r="I74" s="42"/>
      <x:c r="J74" s="42"/>
      <x:c r="K74" s="42"/>
      <x:c r="L74" s="42"/>
      <x:c r="M74" s="42"/>
    </x:row>
    <x:row r="75">
      <x:c r="A75" s="42"/>
      <x:c r="B75" s="42"/>
      <x:c r="C75" s="42"/>
      <x:c r="D75" s="42"/>
      <x:c r="E75" s="42"/>
      <x:c r="F75" s="42"/>
      <x:c r="G75" s="42"/>
      <x:c r="H75" s="42"/>
      <x:c r="I75" s="42"/>
      <x:c r="J75" s="42"/>
      <x:c r="K75" s="42"/>
      <x:c r="L75" s="42"/>
      <x:c r="M75" s="42"/>
    </x:row>
    <x:row r="76">
      <x:c r="A76" s="42"/>
      <x:c r="B76" s="42"/>
      <x:c r="C76" s="42"/>
      <x:c r="D76" s="42"/>
      <x:c r="E76" s="42"/>
      <x:c r="F76" s="42"/>
      <x:c r="G76" s="42"/>
      <x:c r="H76" s="42"/>
      <x:c r="I76" s="42"/>
      <x:c r="J76" s="42"/>
      <x:c r="K76" s="42"/>
      <x:c r="L76" s="42"/>
      <x:c r="M76" s="42"/>
    </x:row>
    <x:row r="77">
      <x:c r="A77" s="42"/>
      <x:c r="B77" s="42"/>
      <x:c r="C77" s="42"/>
      <x:c r="D77" s="42"/>
      <x:c r="E77" s="42"/>
      <x:c r="F77" s="42"/>
      <x:c r="G77" s="42"/>
      <x:c r="H77" s="42"/>
      <x:c r="I77" s="42"/>
      <x:c r="J77" s="42"/>
      <x:c r="K77" s="42"/>
      <x:c r="L77" s="42"/>
      <x:c r="M77" s="42"/>
    </x:row>
    <x:row r="78">
      <x:c r="A78" s="42"/>
      <x:c r="B78" s="42"/>
      <x:c r="C78" s="42"/>
      <x:c r="D78" s="42"/>
      <x:c r="E78" s="42"/>
      <x:c r="F78" s="42"/>
      <x:c r="G78" s="42"/>
      <x:c r="H78" s="42"/>
      <x:c r="I78" s="42"/>
      <x:c r="J78" s="42"/>
      <x:c r="K78" s="42"/>
      <x:c r="L78" s="42"/>
      <x:c r="M78" s="42"/>
    </x:row>
    <x:row r="79">
      <x:c r="A79" s="42"/>
      <x:c r="B79" s="42"/>
      <x:c r="C79" s="42"/>
      <x:c r="D79" s="42"/>
      <x:c r="E79" s="42"/>
      <x:c r="F79" s="42"/>
      <x:c r="G79" s="42"/>
      <x:c r="H79" s="42"/>
      <x:c r="I79" s="42"/>
      <x:c r="J79" s="42"/>
      <x:c r="K79" s="42"/>
      <x:c r="L79" s="42"/>
      <x:c r="M79" s="42"/>
    </x:row>
    <x:row r="80">
      <x:c r="A80" s="42"/>
      <x:c r="B80" s="42"/>
      <x:c r="C80" s="42"/>
      <x:c r="D80" s="42"/>
      <x:c r="E80" s="42"/>
      <x:c r="F80" s="42"/>
      <x:c r="G80" s="42"/>
      <x:c r="H80" s="42"/>
      <x:c r="I80" s="42"/>
      <x:c r="J80" s="42"/>
      <x:c r="K80" s="42"/>
      <x:c r="L80" s="42"/>
      <x:c r="M80" s="42"/>
    </x:row>
    <x:row r="81">
      <x:c r="A81" s="42"/>
      <x:c r="B81" s="42"/>
      <x:c r="C81" s="42"/>
      <x:c r="D81" s="42"/>
      <x:c r="E81" s="42"/>
      <x:c r="F81" s="42"/>
      <x:c r="G81" s="42"/>
      <x:c r="H81" s="42"/>
      <x:c r="I81" s="42"/>
      <x:c r="J81" s="42"/>
      <x:c r="K81" s="42"/>
      <x:c r="L81" s="42"/>
      <x:c r="M81" s="42"/>
    </x:row>
    <x:row r="82">
      <x:c r="A82" s="42"/>
      <x:c r="B82" s="42"/>
      <x:c r="C82" s="42"/>
      <x:c r="D82" s="42"/>
      <x:c r="E82" s="42"/>
      <x:c r="F82" s="42"/>
      <x:c r="G82" s="42"/>
      <x:c r="H82" s="42"/>
      <x:c r="I82" s="42"/>
      <x:c r="J82" s="42"/>
      <x:c r="K82" s="42"/>
      <x:c r="L82" s="42"/>
      <x:c r="M82" s="42"/>
    </x:row>
    <x:row r="83">
      <x:c r="A83" s="42"/>
      <x:c r="B83" s="42"/>
      <x:c r="C83" s="42"/>
      <x:c r="D83" s="42"/>
      <x:c r="E83" s="42"/>
      <x:c r="F83" s="42"/>
      <x:c r="G83" s="42"/>
      <x:c r="H83" s="42"/>
      <x:c r="I83" s="42"/>
      <x:c r="J83" s="42"/>
      <x:c r="K83" s="42"/>
      <x:c r="L83" s="42"/>
      <x:c r="M83" s="42"/>
    </x:row>
    <x:row r="84">
      <x:c r="A84" s="42"/>
      <x:c r="B84" s="42"/>
      <x:c r="C84" s="42"/>
      <x:c r="D84" s="42"/>
      <x:c r="E84" s="42"/>
      <x:c r="F84" s="42"/>
      <x:c r="G84" s="42"/>
      <x:c r="H84" s="42"/>
      <x:c r="I84" s="42"/>
      <x:c r="J84" s="42"/>
      <x:c r="K84" s="42"/>
      <x:c r="L84" s="42"/>
      <x:c r="M84" s="42"/>
    </x:row>
    <x:row r="85">
      <x:c r="A85" s="42"/>
      <x:c r="B85" s="42"/>
      <x:c r="C85" s="42"/>
      <x:c r="D85" s="42"/>
      <x:c r="E85" s="42"/>
      <x:c r="F85" s="42"/>
      <x:c r="G85" s="42"/>
      <x:c r="H85" s="42"/>
      <x:c r="I85" s="42"/>
      <x:c r="J85" s="42"/>
      <x:c r="K85" s="42"/>
      <x:c r="L85" s="42"/>
      <x:c r="M85" s="42"/>
    </x:row>
    <x:row r="86">
      <x:c r="A86" s="42"/>
      <x:c r="B86" s="42"/>
      <x:c r="C86" s="42"/>
      <x:c r="D86" s="42"/>
      <x:c r="E86" s="42"/>
      <x:c r="F86" s="42"/>
      <x:c r="G86" s="42"/>
      <x:c r="H86" s="42"/>
      <x:c r="I86" s="42"/>
      <x:c r="J86" s="42"/>
      <x:c r="K86" s="42"/>
      <x:c r="L86" s="42"/>
      <x:c r="M86" s="42"/>
    </x:row>
    <x:row r="87">
      <x:c r="A87" s="42"/>
      <x:c r="B87" s="42"/>
      <x:c r="C87" s="42"/>
      <x:c r="D87" s="42"/>
      <x:c r="E87" s="42"/>
      <x:c r="F87" s="42"/>
      <x:c r="G87" s="42"/>
      <x:c r="H87" s="42"/>
      <x:c r="I87" s="42"/>
      <x:c r="J87" s="42"/>
      <x:c r="K87" s="42"/>
      <x:c r="L87" s="42"/>
      <x:c r="M87" s="42"/>
    </x:row>
    <x:row r="88">
      <x:c r="A88" s="42"/>
      <x:c r="B88" s="42"/>
      <x:c r="C88" s="42"/>
      <x:c r="D88" s="42"/>
      <x:c r="E88" s="42"/>
      <x:c r="F88" s="42"/>
      <x:c r="G88" s="42"/>
      <x:c r="H88" s="42"/>
      <x:c r="I88" s="42"/>
      <x:c r="J88" s="42"/>
      <x:c r="K88" s="42"/>
      <x:c r="L88" s="42"/>
      <x:c r="M88" s="42"/>
    </x:row>
    <x:row r="89">
      <x:c r="A89" s="42"/>
      <x:c r="B89" s="42"/>
      <x:c r="C89" s="42"/>
      <x:c r="D89" s="42"/>
      <x:c r="E89" s="42"/>
      <x:c r="F89" s="42"/>
      <x:c r="G89" s="42"/>
      <x:c r="H89" s="42"/>
      <x:c r="I89" s="42"/>
      <x:c r="J89" s="42"/>
      <x:c r="K89" s="42"/>
      <x:c r="L89" s="42"/>
      <x:c r="M89" s="42"/>
    </x:row>
    <x:row r="90">
      <x:c r="A90" s="42"/>
      <x:c r="B90" s="42"/>
      <x:c r="C90" s="42"/>
      <x:c r="D90" s="42"/>
      <x:c r="E90" s="42"/>
      <x:c r="F90" s="42"/>
      <x:c r="G90" s="42"/>
      <x:c r="H90" s="42"/>
      <x:c r="I90" s="42"/>
      <x:c r="J90" s="42"/>
      <x:c r="K90" s="42"/>
      <x:c r="L90" s="42"/>
      <x:c r="M90" s="42"/>
    </x:row>
    <x:row r="91">
      <x:c r="A91" s="42"/>
      <x:c r="B91" s="42"/>
      <x:c r="C91" s="42"/>
      <x:c r="D91" s="42"/>
      <x:c r="E91" s="42"/>
      <x:c r="F91" s="42"/>
      <x:c r="G91" s="42"/>
      <x:c r="H91" s="42"/>
      <x:c r="I91" s="42"/>
      <x:c r="J91" s="42"/>
      <x:c r="K91" s="42"/>
      <x:c r="L91" s="42"/>
      <x:c r="M91" s="42"/>
    </x:row>
    <x:row r="92">
      <x:c r="A92" s="42"/>
      <x:c r="B92" s="42"/>
      <x:c r="C92" s="42"/>
      <x:c r="D92" s="42"/>
      <x:c r="E92" s="42"/>
      <x:c r="F92" s="42"/>
      <x:c r="G92" s="42"/>
      <x:c r="H92" s="42"/>
      <x:c r="I92" s="42"/>
      <x:c r="J92" s="42"/>
      <x:c r="K92" s="42"/>
      <x:c r="L92" s="42"/>
      <x:c r="M92" s="42"/>
    </x:row>
    <x:row r="93">
      <x:c r="A93" s="42"/>
      <x:c r="B93" s="42"/>
      <x:c r="C93" s="42"/>
      <x:c r="D93" s="42"/>
      <x:c r="E93" s="42"/>
      <x:c r="F93" s="42"/>
      <x:c r="G93" s="42"/>
      <x:c r="H93" s="42"/>
      <x:c r="I93" s="42"/>
      <x:c r="J93" s="42"/>
      <x:c r="K93" s="42"/>
      <x:c r="L93" s="42"/>
      <x:c r="M93" s="42"/>
    </x:row>
    <x:row r="94">
      <x:c r="A94" s="42"/>
      <x:c r="B94" s="42"/>
      <x:c r="C94" s="42"/>
      <x:c r="D94" s="42"/>
      <x:c r="E94" s="42"/>
      <x:c r="F94" s="42"/>
      <x:c r="G94" s="42"/>
      <x:c r="H94" s="42"/>
      <x:c r="I94" s="42"/>
      <x:c r="J94" s="42"/>
      <x:c r="K94" s="42"/>
      <x:c r="L94" s="42"/>
      <x:c r="M94" s="42"/>
    </x:row>
    <x:row r="95">
      <x:c r="A95" s="42"/>
      <x:c r="B95" s="42"/>
      <x:c r="C95" s="42"/>
      <x:c r="D95" s="42"/>
      <x:c r="E95" s="42"/>
      <x:c r="F95" s="42"/>
      <x:c r="G95" s="42"/>
      <x:c r="H95" s="42"/>
      <x:c r="I95" s="42"/>
      <x:c r="J95" s="42"/>
      <x:c r="K95" s="42"/>
      <x:c r="L95" s="42"/>
      <x:c r="M95" s="42"/>
    </x:row>
    <x:row r="96">
      <x:c r="A96" s="42"/>
      <x:c r="B96" s="42"/>
      <x:c r="C96" s="42"/>
      <x:c r="D96" s="42"/>
      <x:c r="E96" s="42"/>
      <x:c r="F96" s="42"/>
      <x:c r="G96" s="42"/>
      <x:c r="H96" s="42"/>
      <x:c r="I96" s="42"/>
      <x:c r="J96" s="42"/>
      <x:c r="K96" s="42"/>
      <x:c r="L96" s="42"/>
      <x:c r="M96" s="42"/>
    </x:row>
    <x:row r="97">
      <x:c r="A97" s="42"/>
      <x:c r="B97" s="42"/>
      <x:c r="C97" s="42"/>
      <x:c r="D97" s="42"/>
      <x:c r="E97" s="42"/>
      <x:c r="F97" s="42"/>
      <x:c r="G97" s="42"/>
      <x:c r="H97" s="42"/>
      <x:c r="I97" s="42"/>
      <x:c r="J97" s="42"/>
      <x:c r="K97" s="42"/>
      <x:c r="L97" s="42"/>
      <x:c r="M97" s="42"/>
    </x:row>
    <x:row r="98">
      <x:c r="A98" s="42"/>
      <x:c r="B98" s="42"/>
      <x:c r="C98" s="42"/>
      <x:c r="D98" s="42"/>
      <x:c r="E98" s="42"/>
      <x:c r="F98" s="42"/>
      <x:c r="G98" s="42"/>
      <x:c r="H98" s="42"/>
      <x:c r="I98" s="42"/>
      <x:c r="J98" s="42"/>
      <x:c r="K98" s="42"/>
      <x:c r="L98" s="42"/>
      <x:c r="M98" s="42"/>
    </x:row>
    <x:row r="99">
      <x:c r="A99" s="42"/>
      <x:c r="B99" s="42"/>
      <x:c r="C99" s="42"/>
      <x:c r="D99" s="42"/>
      <x:c r="E99" s="42"/>
      <x:c r="F99" s="42"/>
      <x:c r="G99" s="42"/>
      <x:c r="H99" s="42"/>
      <x:c r="I99" s="42"/>
      <x:c r="J99" s="42"/>
      <x:c r="K99" s="42"/>
      <x:c r="L99" s="42"/>
      <x:c r="M99" s="42"/>
    </x:row>
    <x:row r="100">
      <x:c r="A100" s="42"/>
      <x:c r="B100" s="42"/>
      <x:c r="C100" s="42"/>
      <x:c r="D100" s="42"/>
      <x:c r="E100" s="42"/>
      <x:c r="F100" s="42"/>
      <x:c r="G100" s="42"/>
      <x:c r="H100" s="42"/>
      <x:c r="I100" s="42"/>
      <x:c r="J100" s="42"/>
      <x:c r="K100" s="42"/>
      <x:c r="L100" s="42"/>
      <x:c r="M100" s="42"/>
    </x:row>
    <x:row r="101">
      <x:c r="A101" s="42"/>
      <x:c r="B101" s="42"/>
      <x:c r="C101" s="42"/>
      <x:c r="D101" s="42"/>
      <x:c r="E101" s="42"/>
      <x:c r="F101" s="42"/>
      <x:c r="G101" s="42"/>
      <x:c r="H101" s="42"/>
      <x:c r="I101" s="42"/>
      <x:c r="J101" s="42"/>
      <x:c r="K101" s="42"/>
      <x:c r="L101" s="42"/>
      <x:c r="M101" s="42"/>
    </x:row>
    <x:row r="102">
      <x:c r="A102" s="42"/>
      <x:c r="B102" s="42"/>
      <x:c r="C102" s="42"/>
      <x:c r="D102" s="42"/>
      <x:c r="E102" s="42"/>
      <x:c r="F102" s="42"/>
      <x:c r="G102" s="42"/>
      <x:c r="H102" s="42"/>
      <x:c r="I102" s="42"/>
      <x:c r="J102" s="42"/>
      <x:c r="K102" s="42"/>
      <x:c r="L102" s="42"/>
      <x:c r="M102" s="42"/>
    </x:row>
    <x:row r="103">
      <x:c r="A103" s="42"/>
      <x:c r="B103" s="42"/>
      <x:c r="C103" s="42"/>
      <x:c r="D103" s="42"/>
      <x:c r="E103" s="42"/>
      <x:c r="F103" s="42"/>
      <x:c r="G103" s="42"/>
      <x:c r="H103" s="42"/>
      <x:c r="I103" s="42"/>
      <x:c r="J103" s="42"/>
      <x:c r="K103" s="42"/>
      <x:c r="L103" s="42"/>
      <x:c r="M103" s="42"/>
    </x:row>
    <x:row r="104">
      <x:c r="A104" s="42"/>
      <x:c r="B104" s="42"/>
      <x:c r="C104" s="42"/>
      <x:c r="D104" s="42"/>
      <x:c r="E104" s="42"/>
      <x:c r="F104" s="42"/>
      <x:c r="G104" s="42"/>
      <x:c r="H104" s="42"/>
      <x:c r="I104" s="42"/>
      <x:c r="J104" s="42"/>
      <x:c r="K104" s="42"/>
      <x:c r="L104" s="42"/>
      <x:c r="M104" s="42"/>
    </x:row>
    <x:row r="105">
      <x:c r="A105" s="42"/>
      <x:c r="B105" s="42"/>
      <x:c r="C105" s="42"/>
      <x:c r="D105" s="42"/>
      <x:c r="E105" s="42"/>
      <x:c r="F105" s="42"/>
      <x:c r="G105" s="42"/>
      <x:c r="H105" s="42"/>
      <x:c r="I105" s="42"/>
      <x:c r="J105" s="42"/>
      <x:c r="K105" s="42"/>
      <x:c r="L105" s="42"/>
      <x:c r="M105" s="42"/>
    </x:row>
    <x:row r="106">
      <x:c r="A106" s="42"/>
      <x:c r="B106" s="42"/>
      <x:c r="C106" s="42"/>
      <x:c r="D106" s="42"/>
      <x:c r="E106" s="42"/>
      <x:c r="F106" s="42"/>
      <x:c r="G106" s="42"/>
      <x:c r="H106" s="42"/>
      <x:c r="I106" s="42"/>
      <x:c r="J106" s="42"/>
      <x:c r="K106" s="42"/>
      <x:c r="L106" s="42"/>
      <x:c r="M106" s="42"/>
    </x:row>
    <x:row r="107">
      <x:c r="A107" s="42"/>
      <x:c r="B107" s="42"/>
      <x:c r="C107" s="42"/>
      <x:c r="D107" s="42"/>
      <x:c r="E107" s="42"/>
      <x:c r="F107" s="42"/>
      <x:c r="G107" s="42"/>
      <x:c r="H107" s="42"/>
      <x:c r="I107" s="42"/>
      <x:c r="J107" s="42"/>
      <x:c r="K107" s="42"/>
      <x:c r="L107" s="42"/>
      <x:c r="M107" s="42"/>
    </x:row>
    <x:row r="108">
      <x:c r="A108" s="42"/>
      <x:c r="B108" s="42"/>
      <x:c r="C108" s="42"/>
      <x:c r="D108" s="42"/>
      <x:c r="E108" s="42"/>
      <x:c r="F108" s="42"/>
      <x:c r="G108" s="42"/>
      <x:c r="H108" s="42"/>
      <x:c r="I108" s="42"/>
      <x:c r="J108" s="42"/>
      <x:c r="K108" s="42"/>
      <x:c r="L108" s="42"/>
      <x:c r="M108" s="42"/>
    </x:row>
    <x:row r="109">
      <x:c r="A109" s="42"/>
      <x:c r="B109" s="42"/>
      <x:c r="C109" s="42"/>
      <x:c r="D109" s="42"/>
      <x:c r="E109" s="42"/>
      <x:c r="F109" s="42"/>
      <x:c r="G109" s="42"/>
      <x:c r="H109" s="42"/>
      <x:c r="I109" s="42"/>
      <x:c r="J109" s="42"/>
      <x:c r="K109" s="42"/>
      <x:c r="L109" s="42"/>
      <x:c r="M109" s="42"/>
    </x:row>
    <x:row r="110">
      <x:c r="A110" s="42"/>
      <x:c r="B110" s="42"/>
      <x:c r="C110" s="42"/>
      <x:c r="D110" s="42"/>
      <x:c r="E110" s="42"/>
      <x:c r="F110" s="42"/>
      <x:c r="G110" s="42"/>
      <x:c r="H110" s="42"/>
      <x:c r="I110" s="42"/>
      <x:c r="J110" s="42"/>
      <x:c r="K110" s="42"/>
      <x:c r="L110" s="42"/>
      <x:c r="M110" s="42"/>
    </x:row>
    <x:row r="111">
      <x:c r="A111" s="42"/>
      <x:c r="B111" s="42"/>
      <x:c r="C111" s="42"/>
      <x:c r="D111" s="42"/>
      <x:c r="E111" s="42"/>
      <x:c r="F111" s="42"/>
      <x:c r="G111" s="42"/>
      <x:c r="H111" s="42"/>
      <x:c r="I111" s="42"/>
      <x:c r="J111" s="42"/>
      <x:c r="K111" s="42"/>
      <x:c r="L111" s="42"/>
      <x:c r="M111" s="42"/>
    </x:row>
    <x:row r="112">
      <x:c r="A112" s="42"/>
      <x:c r="B112" s="42"/>
      <x:c r="C112" s="42"/>
      <x:c r="D112" s="42"/>
      <x:c r="E112" s="42"/>
      <x:c r="F112" s="42"/>
      <x:c r="G112" s="42"/>
      <x:c r="H112" s="42"/>
      <x:c r="I112" s="42"/>
      <x:c r="J112" s="42"/>
      <x:c r="K112" s="42"/>
      <x:c r="L112" s="42"/>
      <x:c r="M112" s="42"/>
    </x:row>
    <x:row r="113">
      <x:c r="A113" s="42"/>
      <x:c r="B113" s="42"/>
      <x:c r="C113" s="42"/>
      <x:c r="D113" s="42"/>
      <x:c r="E113" s="42"/>
      <x:c r="F113" s="42"/>
      <x:c r="G113" s="42"/>
      <x:c r="H113" s="42"/>
      <x:c r="I113" s="42"/>
      <x:c r="J113" s="42"/>
      <x:c r="K113" s="42"/>
      <x:c r="L113" s="42"/>
      <x:c r="M113" s="42"/>
    </x:row>
    <x:row r="114">
      <x:c r="A114" s="42"/>
      <x:c r="B114" s="42"/>
      <x:c r="C114" s="42"/>
      <x:c r="D114" s="42"/>
      <x:c r="E114" s="42"/>
      <x:c r="F114" s="42"/>
      <x:c r="G114" s="42"/>
      <x:c r="H114" s="42"/>
      <x:c r="I114" s="42"/>
      <x:c r="J114" s="42"/>
      <x:c r="K114" s="42"/>
      <x:c r="L114" s="42"/>
      <x:c r="M114" s="42"/>
    </x:row>
    <x:row r="115">
      <x:c r="A115" s="42"/>
      <x:c r="B115" s="42"/>
      <x:c r="C115" s="42"/>
      <x:c r="D115" s="42"/>
      <x:c r="E115" s="42"/>
      <x:c r="F115" s="42"/>
      <x:c r="G115" s="42"/>
      <x:c r="H115" s="42"/>
      <x:c r="I115" s="42"/>
      <x:c r="J115" s="42"/>
      <x:c r="K115" s="42"/>
      <x:c r="L115" s="42"/>
      <x:c r="M115" s="42"/>
    </x:row>
    <x:row r="116">
      <x:c r="A116" s="42"/>
      <x:c r="B116" s="42"/>
      <x:c r="C116" s="42"/>
      <x:c r="D116" s="42"/>
      <x:c r="E116" s="42"/>
      <x:c r="F116" s="42"/>
      <x:c r="G116" s="42"/>
      <x:c r="H116" s="42"/>
      <x:c r="I116" s="42"/>
      <x:c r="J116" s="42"/>
      <x:c r="K116" s="42"/>
      <x:c r="L116" s="42"/>
      <x:c r="M116" s="42"/>
    </x:row>
    <x:row r="117">
      <x:c r="A117" s="42"/>
      <x:c r="B117" s="42"/>
      <x:c r="C117" s="42"/>
      <x:c r="D117" s="42"/>
      <x:c r="E117" s="42"/>
      <x:c r="F117" s="42"/>
      <x:c r="G117" s="42"/>
      <x:c r="H117" s="42"/>
      <x:c r="I117" s="42"/>
      <x:c r="J117" s="42"/>
      <x:c r="K117" s="42"/>
      <x:c r="L117" s="42"/>
      <x:c r="M117" s="42"/>
    </x:row>
    <x:row r="118">
      <x:c r="A118" s="42"/>
      <x:c r="B118" s="42"/>
      <x:c r="C118" s="42"/>
      <x:c r="D118" s="42"/>
      <x:c r="E118" s="42"/>
      <x:c r="F118" s="42"/>
      <x:c r="G118" s="42"/>
      <x:c r="H118" s="42"/>
      <x:c r="I118" s="42"/>
      <x:c r="J118" s="42"/>
      <x:c r="K118" s="42"/>
      <x:c r="L118" s="42"/>
      <x:c r="M118" s="42"/>
    </x:row>
    <x:row r="119">
      <x:c r="A119" s="42"/>
      <x:c r="B119" s="42"/>
      <x:c r="C119" s="42"/>
      <x:c r="D119" s="42"/>
      <x:c r="E119" s="42"/>
      <x:c r="F119" s="42"/>
      <x:c r="G119" s="42"/>
      <x:c r="H119" s="42"/>
      <x:c r="I119" s="42"/>
      <x:c r="J119" s="42"/>
      <x:c r="K119" s="42"/>
      <x:c r="L119" s="42"/>
      <x:c r="M119" s="42"/>
    </x:row>
    <x:row r="120">
      <x:c r="A120" s="42"/>
      <x:c r="B120" s="42"/>
      <x:c r="C120" s="42"/>
      <x:c r="D120" s="42"/>
      <x:c r="E120" s="42"/>
      <x:c r="F120" s="42"/>
      <x:c r="G120" s="42"/>
      <x:c r="H120" s="42"/>
      <x:c r="I120" s="42"/>
      <x:c r="J120" s="42"/>
      <x:c r="K120" s="42"/>
      <x:c r="L120" s="42"/>
      <x:c r="M120" s="42"/>
    </x:row>
    <x:row r="121">
      <x:c r="A121" s="42"/>
      <x:c r="B121" s="42"/>
      <x:c r="C121" s="42"/>
      <x:c r="D121" s="42"/>
      <x:c r="E121" s="42"/>
      <x:c r="F121" s="42"/>
      <x:c r="G121" s="42"/>
      <x:c r="H121" s="42"/>
      <x:c r="I121" s="42"/>
      <x:c r="J121" s="42"/>
      <x:c r="K121" s="42"/>
      <x:c r="L121" s="42"/>
      <x:c r="M121" s="42"/>
    </x:row>
    <x:row r="122">
      <x:c r="A122" s="42"/>
      <x:c r="B122" s="42"/>
      <x:c r="C122" s="42"/>
      <x:c r="D122" s="42"/>
      <x:c r="E122" s="42"/>
      <x:c r="F122" s="42"/>
      <x:c r="G122" s="42"/>
      <x:c r="H122" s="42"/>
      <x:c r="I122" s="42"/>
      <x:c r="J122" s="42"/>
      <x:c r="K122" s="42"/>
      <x:c r="L122" s="42"/>
      <x:c r="M122" s="42"/>
    </x:row>
    <x:row r="123">
      <x:c r="A123" s="42"/>
      <x:c r="B123" s="42"/>
      <x:c r="C123" s="42"/>
      <x:c r="D123" s="42"/>
      <x:c r="E123" s="42"/>
      <x:c r="F123" s="42"/>
      <x:c r="G123" s="42"/>
      <x:c r="H123" s="42"/>
      <x:c r="I123" s="42"/>
      <x:c r="J123" s="42"/>
      <x:c r="K123" s="42"/>
      <x:c r="L123" s="42"/>
      <x:c r="M123" s="42"/>
    </x:row>
    <x:row r="124">
      <x:c r="A124" s="42"/>
      <x:c r="B124" s="42"/>
      <x:c r="C124" s="42"/>
      <x:c r="D124" s="42"/>
      <x:c r="E124" s="42"/>
      <x:c r="F124" s="42"/>
      <x:c r="G124" s="42"/>
      <x:c r="H124" s="42"/>
      <x:c r="I124" s="42"/>
      <x:c r="J124" s="42"/>
      <x:c r="K124" s="42"/>
      <x:c r="L124" s="42"/>
      <x:c r="M124" s="42"/>
    </x:row>
    <x:row r="125">
      <x:c r="A125" s="42"/>
      <x:c r="B125" s="42"/>
      <x:c r="C125" s="42"/>
      <x:c r="D125" s="42"/>
      <x:c r="E125" s="42"/>
      <x:c r="F125" s="42"/>
      <x:c r="G125" s="42"/>
      <x:c r="H125" s="42"/>
      <x:c r="I125" s="42"/>
      <x:c r="J125" s="42"/>
      <x:c r="K125" s="42"/>
      <x:c r="L125" s="42"/>
      <x:c r="M125" s="42"/>
    </x:row>
    <x:row r="126">
      <x:c r="A126" s="42"/>
      <x:c r="B126" s="42"/>
      <x:c r="C126" s="42"/>
      <x:c r="D126" s="42"/>
      <x:c r="E126" s="42"/>
      <x:c r="F126" s="42"/>
      <x:c r="G126" s="42"/>
      <x:c r="H126" s="42"/>
      <x:c r="I126" s="42"/>
      <x:c r="J126" s="42"/>
      <x:c r="K126" s="42"/>
      <x:c r="L126" s="42"/>
      <x:c r="M126" s="42"/>
    </x:row>
    <x:row r="127">
      <x:c r="A127" s="42"/>
      <x:c r="B127" s="42"/>
      <x:c r="C127" s="42"/>
      <x:c r="D127" s="42"/>
      <x:c r="E127" s="42"/>
      <x:c r="F127" s="42"/>
      <x:c r="G127" s="42"/>
      <x:c r="H127" s="42"/>
      <x:c r="I127" s="42"/>
      <x:c r="J127" s="42"/>
      <x:c r="K127" s="42"/>
      <x:c r="L127" s="42"/>
      <x:c r="M127" s="42"/>
    </x:row>
    <x:row r="128">
      <x:c r="A128" s="42"/>
      <x:c r="B128" s="42"/>
      <x:c r="C128" s="42"/>
      <x:c r="D128" s="42"/>
      <x:c r="E128" s="42"/>
      <x:c r="F128" s="42"/>
      <x:c r="G128" s="42"/>
      <x:c r="H128" s="42"/>
      <x:c r="I128" s="42"/>
      <x:c r="J128" s="42"/>
      <x:c r="K128" s="42"/>
      <x:c r="L128" s="42"/>
      <x:c r="M128" s="42"/>
    </x:row>
    <x:row r="129">
      <x:c r="A129" s="42"/>
      <x:c r="B129" s="42"/>
      <x:c r="C129" s="42"/>
      <x:c r="D129" s="42"/>
      <x:c r="E129" s="42"/>
      <x:c r="F129" s="42"/>
      <x:c r="G129" s="42"/>
      <x:c r="H129" s="42"/>
      <x:c r="I129" s="42"/>
      <x:c r="J129" s="42"/>
      <x:c r="K129" s="42"/>
      <x:c r="L129" s="42"/>
      <x:c r="M129" s="42"/>
    </x:row>
    <x:row r="130">
      <x:c r="A130" s="42"/>
      <x:c r="B130" s="42"/>
      <x:c r="C130" s="42"/>
      <x:c r="D130" s="42"/>
      <x:c r="E130" s="42"/>
      <x:c r="F130" s="42"/>
      <x:c r="G130" s="42"/>
      <x:c r="H130" s="42"/>
      <x:c r="I130" s="42"/>
      <x:c r="J130" s="42"/>
      <x:c r="K130" s="42"/>
      <x:c r="L130" s="42"/>
      <x:c r="M130" s="42"/>
    </x:row>
    <x:row r="131">
      <x:c r="A131" s="42"/>
      <x:c r="B131" s="42"/>
      <x:c r="C131" s="42"/>
      <x:c r="D131" s="42"/>
      <x:c r="E131" s="42"/>
      <x:c r="F131" s="42"/>
      <x:c r="G131" s="42"/>
      <x:c r="H131" s="42"/>
      <x:c r="I131" s="42"/>
      <x:c r="J131" s="42"/>
      <x:c r="K131" s="42"/>
      <x:c r="L131" s="42"/>
      <x:c r="M131" s="42"/>
    </x:row>
    <x:row r="132">
      <x:c r="A132" s="42"/>
      <x:c r="B132" s="42"/>
      <x:c r="C132" s="42"/>
      <x:c r="D132" s="42"/>
      <x:c r="E132" s="42"/>
      <x:c r="F132" s="42"/>
      <x:c r="G132" s="42"/>
      <x:c r="H132" s="42"/>
      <x:c r="I132" s="42"/>
      <x:c r="J132" s="42"/>
      <x:c r="K132" s="42"/>
      <x:c r="L132" s="42"/>
      <x:c r="M132" s="42"/>
    </x:row>
    <x:row r="133">
      <x:c r="A133" s="42"/>
      <x:c r="B133" s="42"/>
      <x:c r="C133" s="42"/>
      <x:c r="D133" s="42"/>
      <x:c r="E133" s="42"/>
      <x:c r="F133" s="42"/>
      <x:c r="G133" s="42"/>
      <x:c r="H133" s="42"/>
      <x:c r="I133" s="42"/>
      <x:c r="J133" s="42"/>
      <x:c r="K133" s="42"/>
      <x:c r="L133" s="42"/>
      <x:c r="M133" s="42"/>
    </x:row>
    <x:row r="134">
      <x:c r="A134" s="42"/>
      <x:c r="B134" s="42"/>
      <x:c r="C134" s="42"/>
      <x:c r="D134" s="42"/>
      <x:c r="E134" s="42"/>
      <x:c r="F134" s="42"/>
      <x:c r="G134" s="42"/>
      <x:c r="H134" s="42"/>
      <x:c r="I134" s="42"/>
      <x:c r="J134" s="42"/>
      <x:c r="K134" s="42"/>
      <x:c r="L134" s="42"/>
      <x:c r="M134" s="42"/>
    </x:row>
    <x:row r="135">
      <x:c r="A135" s="42"/>
      <x:c r="B135" s="42"/>
      <x:c r="C135" s="42"/>
      <x:c r="D135" s="42"/>
      <x:c r="E135" s="42"/>
      <x:c r="F135" s="42"/>
      <x:c r="G135" s="42"/>
      <x:c r="H135" s="42"/>
      <x:c r="I135" s="42"/>
      <x:c r="J135" s="42"/>
      <x:c r="K135" s="42"/>
      <x:c r="L135" s="42"/>
      <x:c r="M135" s="42"/>
    </x:row>
    <x:row r="136">
      <x:c r="A136" s="42"/>
      <x:c r="B136" s="42"/>
      <x:c r="C136" s="42"/>
      <x:c r="D136" s="42"/>
      <x:c r="E136" s="42"/>
      <x:c r="F136" s="42"/>
      <x:c r="G136" s="42"/>
      <x:c r="H136" s="42"/>
      <x:c r="I136" s="42"/>
      <x:c r="J136" s="42"/>
      <x:c r="K136" s="42"/>
      <x:c r="L136" s="42"/>
      <x:c r="M136" s="42"/>
    </x:row>
    <x:row r="137">
      <x:c r="A137" s="42"/>
      <x:c r="B137" s="42"/>
      <x:c r="C137" s="42"/>
      <x:c r="D137" s="42"/>
      <x:c r="E137" s="42"/>
      <x:c r="F137" s="42"/>
      <x:c r="G137" s="42"/>
      <x:c r="H137" s="42"/>
      <x:c r="I137" s="42"/>
      <x:c r="J137" s="42"/>
      <x:c r="K137" s="42"/>
      <x:c r="L137" s="42"/>
      <x:c r="M137" s="42"/>
    </x:row>
    <x:row r="138">
      <x:c r="A138" s="42"/>
      <x:c r="B138" s="42"/>
      <x:c r="C138" s="42"/>
      <x:c r="D138" s="42"/>
      <x:c r="E138" s="42"/>
      <x:c r="F138" s="42"/>
      <x:c r="G138" s="42"/>
      <x:c r="H138" s="42"/>
      <x:c r="I138" s="42"/>
      <x:c r="J138" s="42"/>
      <x:c r="K138" s="42"/>
      <x:c r="L138" s="42"/>
      <x:c r="M138" s="42"/>
    </x:row>
    <x:row r="139">
      <x:c r="A139" s="42"/>
      <x:c r="B139" s="42"/>
      <x:c r="C139" s="42"/>
      <x:c r="D139" s="42"/>
      <x:c r="E139" s="42"/>
      <x:c r="F139" s="42"/>
      <x:c r="G139" s="42"/>
      <x:c r="H139" s="42"/>
      <x:c r="I139" s="42"/>
      <x:c r="J139" s="42"/>
      <x:c r="K139" s="42"/>
      <x:c r="L139" s="42"/>
      <x:c r="M139" s="42"/>
    </x:row>
    <x:row r="140">
      <x:c r="A140" s="42"/>
      <x:c r="B140" s="42"/>
      <x:c r="C140" s="42"/>
      <x:c r="D140" s="42"/>
      <x:c r="E140" s="42"/>
      <x:c r="F140" s="42"/>
      <x:c r="G140" s="42"/>
      <x:c r="H140" s="42"/>
      <x:c r="I140" s="42"/>
      <x:c r="J140" s="42"/>
      <x:c r="K140" s="42"/>
      <x:c r="L140" s="42"/>
      <x:c r="M140" s="42"/>
    </x:row>
    <x:row r="141">
      <x:c r="A141" s="42"/>
      <x:c r="B141" s="42"/>
      <x:c r="C141" s="42"/>
      <x:c r="D141" s="42"/>
      <x:c r="E141" s="42"/>
      <x:c r="F141" s="42"/>
      <x:c r="G141" s="42"/>
      <x:c r="H141" s="42"/>
      <x:c r="I141" s="42"/>
      <x:c r="J141" s="42"/>
      <x:c r="K141" s="42"/>
      <x:c r="L141" s="42"/>
      <x:c r="M141" s="42"/>
    </x:row>
    <x:row r="142">
      <x:c r="A142" s="42"/>
      <x:c r="B142" s="42"/>
      <x:c r="C142" s="42"/>
      <x:c r="D142" s="42"/>
      <x:c r="E142" s="42"/>
      <x:c r="F142" s="42"/>
      <x:c r="G142" s="42"/>
      <x:c r="H142" s="42"/>
      <x:c r="I142" s="42"/>
      <x:c r="J142" s="42"/>
      <x:c r="K142" s="42"/>
      <x:c r="L142" s="42"/>
      <x:c r="M142" s="42"/>
    </x:row>
    <x:row r="143">
      <x:c r="A143" s="42"/>
      <x:c r="B143" s="42"/>
      <x:c r="C143" s="42"/>
      <x:c r="D143" s="42"/>
      <x:c r="E143" s="42"/>
      <x:c r="F143" s="42"/>
      <x:c r="G143" s="42"/>
      <x:c r="H143" s="42"/>
      <x:c r="I143" s="42"/>
      <x:c r="J143" s="42"/>
      <x:c r="K143" s="42"/>
      <x:c r="L143" s="42"/>
      <x:c r="M143" s="42"/>
    </x:row>
    <x:row r="144">
      <x:c r="A144" s="42"/>
      <x:c r="B144" s="42"/>
      <x:c r="C144" s="42"/>
      <x:c r="D144" s="42"/>
      <x:c r="E144" s="42"/>
      <x:c r="F144" s="42"/>
      <x:c r="G144" s="42"/>
      <x:c r="H144" s="42"/>
      <x:c r="I144" s="42"/>
      <x:c r="J144" s="42"/>
      <x:c r="K144" s="42"/>
      <x:c r="L144" s="42"/>
      <x:c r="M144" s="42"/>
    </x:row>
    <x:row r="145">
      <x:c r="A145" s="42"/>
      <x:c r="B145" s="42"/>
      <x:c r="C145" s="42"/>
      <x:c r="D145" s="42"/>
      <x:c r="E145" s="42"/>
      <x:c r="F145" s="42"/>
      <x:c r="G145" s="42"/>
      <x:c r="H145" s="42"/>
      <x:c r="I145" s="42"/>
      <x:c r="J145" s="42"/>
      <x:c r="K145" s="42"/>
      <x:c r="L145" s="42"/>
      <x:c r="M145" s="42"/>
    </x:row>
    <x:row r="146">
      <x:c r="A146" s="42"/>
      <x:c r="B146" s="42"/>
      <x:c r="C146" s="42"/>
      <x:c r="D146" s="42"/>
      <x:c r="E146" s="42"/>
      <x:c r="F146" s="42"/>
      <x:c r="G146" s="42"/>
      <x:c r="H146" s="42"/>
      <x:c r="I146" s="42"/>
      <x:c r="J146" s="42"/>
      <x:c r="K146" s="42"/>
      <x:c r="L146" s="42"/>
      <x:c r="M146" s="42"/>
    </x:row>
    <x:row r="147">
      <x:c r="A147" s="42"/>
      <x:c r="B147" s="42"/>
      <x:c r="C147" s="42"/>
      <x:c r="D147" s="42"/>
      <x:c r="E147" s="42"/>
      <x:c r="F147" s="42"/>
      <x:c r="G147" s="42"/>
      <x:c r="H147" s="42"/>
      <x:c r="I147" s="42"/>
      <x:c r="J147" s="42"/>
      <x:c r="K147" s="42"/>
      <x:c r="L147" s="42"/>
      <x:c r="M147" s="42"/>
    </x:row>
    <x:row r="148">
      <x:c r="A148" s="42"/>
      <x:c r="B148" s="42"/>
      <x:c r="C148" s="42"/>
      <x:c r="D148" s="42"/>
      <x:c r="E148" s="42"/>
      <x:c r="F148" s="42"/>
      <x:c r="G148" s="42"/>
      <x:c r="H148" s="42"/>
      <x:c r="I148" s="42"/>
      <x:c r="J148" s="42"/>
      <x:c r="K148" s="42"/>
      <x:c r="L148" s="42"/>
      <x:c r="M148" s="42"/>
    </x:row>
    <x:row r="149">
      <x:c r="A149" s="42"/>
      <x:c r="B149" s="42"/>
      <x:c r="C149" s="42"/>
      <x:c r="D149" s="42"/>
      <x:c r="E149" s="42"/>
      <x:c r="F149" s="42"/>
      <x:c r="G149" s="42"/>
      <x:c r="H149" s="42"/>
      <x:c r="I149" s="42"/>
      <x:c r="J149" s="42"/>
      <x:c r="K149" s="42"/>
      <x:c r="L149" s="42"/>
      <x:c r="M149" s="42"/>
    </x:row>
    <x:row r="150">
      <x:c r="A150" s="42"/>
      <x:c r="B150" s="42"/>
      <x:c r="C150" s="42"/>
      <x:c r="D150" s="42"/>
      <x:c r="E150" s="42"/>
      <x:c r="F150" s="42"/>
      <x:c r="G150" s="42"/>
      <x:c r="H150" s="42"/>
      <x:c r="I150" s="42"/>
      <x:c r="J150" s="42"/>
      <x:c r="K150" s="42"/>
      <x:c r="L150" s="42"/>
      <x:c r="M150" s="42"/>
    </x:row>
    <x:row r="151">
      <x:c r="A151" s="42"/>
      <x:c r="B151" s="42"/>
      <x:c r="C151" s="42"/>
      <x:c r="D151" s="42"/>
      <x:c r="E151" s="42"/>
      <x:c r="F151" s="42"/>
      <x:c r="G151" s="42"/>
      <x:c r="H151" s="42"/>
      <x:c r="I151" s="42"/>
      <x:c r="J151" s="42"/>
      <x:c r="K151" s="42"/>
      <x:c r="L151" s="42"/>
      <x:c r="M151" s="42"/>
    </x:row>
    <x:row r="152">
      <x:c r="A152" s="42"/>
      <x:c r="B152" s="42"/>
      <x:c r="C152" s="42"/>
      <x:c r="D152" s="42"/>
      <x:c r="E152" s="42"/>
      <x:c r="F152" s="42"/>
      <x:c r="G152" s="42"/>
      <x:c r="H152" s="42"/>
      <x:c r="I152" s="42"/>
      <x:c r="J152" s="42"/>
      <x:c r="K152" s="42"/>
      <x:c r="L152" s="42"/>
      <x:c r="M152" s="42"/>
    </x:row>
    <x:row r="153">
      <x:c r="A153" s="42"/>
      <x:c r="B153" s="42"/>
      <x:c r="C153" s="42"/>
      <x:c r="D153" s="42"/>
      <x:c r="E153" s="42"/>
      <x:c r="F153" s="42"/>
      <x:c r="G153" s="42"/>
      <x:c r="H153" s="42"/>
      <x:c r="I153" s="42"/>
      <x:c r="J153" s="42"/>
      <x:c r="K153" s="42"/>
      <x:c r="L153" s="42"/>
      <x:c r="M153" s="42"/>
    </x:row>
    <x:row r="154">
      <x:c r="A154" s="42"/>
      <x:c r="B154" s="42"/>
      <x:c r="C154" s="42"/>
      <x:c r="D154" s="42"/>
      <x:c r="E154" s="42"/>
      <x:c r="F154" s="42"/>
      <x:c r="G154" s="42"/>
      <x:c r="H154" s="42"/>
      <x:c r="I154" s="42"/>
      <x:c r="J154" s="42"/>
      <x:c r="K154" s="42"/>
      <x:c r="L154" s="42"/>
      <x:c r="M154" s="42"/>
    </x:row>
    <x:row r="155">
      <x:c r="A155" s="42"/>
      <x:c r="B155" s="42"/>
      <x:c r="C155" s="42"/>
      <x:c r="D155" s="42"/>
      <x:c r="E155" s="42"/>
      <x:c r="F155" s="42"/>
      <x:c r="G155" s="42"/>
      <x:c r="H155" s="42"/>
      <x:c r="I155" s="42"/>
      <x:c r="J155" s="42"/>
      <x:c r="K155" s="42"/>
      <x:c r="L155" s="42"/>
      <x:c r="M155" s="42"/>
    </x:row>
    <x:row r="156">
      <x:c r="A156" s="42"/>
      <x:c r="B156" s="42"/>
      <x:c r="C156" s="42"/>
      <x:c r="D156" s="42"/>
      <x:c r="E156" s="42"/>
      <x:c r="F156" s="42"/>
      <x:c r="G156" s="42"/>
      <x:c r="H156" s="42"/>
      <x:c r="I156" s="42"/>
      <x:c r="J156" s="42"/>
      <x:c r="K156" s="42"/>
      <x:c r="L156" s="42"/>
      <x:c r="M156" s="42"/>
    </x:row>
    <x:row r="157">
      <x:c r="A157" s="42"/>
      <x:c r="B157" s="42"/>
      <x:c r="C157" s="42"/>
      <x:c r="D157" s="42"/>
      <x:c r="E157" s="42"/>
      <x:c r="F157" s="42"/>
      <x:c r="G157" s="42"/>
      <x:c r="H157" s="42"/>
      <x:c r="I157" s="42"/>
      <x:c r="J157" s="42"/>
      <x:c r="K157" s="42"/>
      <x:c r="L157" s="42"/>
      <x:c r="M157" s="42"/>
    </x:row>
    <x:row r="158">
      <x:c r="A158" s="42"/>
      <x:c r="B158" s="42"/>
      <x:c r="C158" s="42"/>
      <x:c r="D158" s="42"/>
      <x:c r="E158" s="42"/>
      <x:c r="F158" s="42"/>
      <x:c r="G158" s="42"/>
      <x:c r="H158" s="42"/>
      <x:c r="I158" s="42"/>
      <x:c r="J158" s="42"/>
      <x:c r="K158" s="42"/>
      <x:c r="L158" s="42"/>
      <x:c r="M158" s="42"/>
    </x:row>
    <x:row r="159">
      <x:c r="A159" s="42"/>
      <x:c r="B159" s="42"/>
      <x:c r="C159" s="42"/>
      <x:c r="D159" s="42"/>
      <x:c r="E159" s="42"/>
      <x:c r="F159" s="42"/>
      <x:c r="G159" s="42"/>
      <x:c r="H159" s="42"/>
      <x:c r="I159" s="42"/>
      <x:c r="J159" s="42"/>
      <x:c r="K159" s="42"/>
      <x:c r="L159" s="42"/>
      <x:c r="M159" s="42"/>
    </x:row>
    <x:row r="160">
      <x:c r="A160" s="42"/>
      <x:c r="B160" s="42"/>
      <x:c r="C160" s="42"/>
      <x:c r="D160" s="42"/>
      <x:c r="E160" s="42"/>
      <x:c r="F160" s="42"/>
      <x:c r="G160" s="42"/>
      <x:c r="H160" s="42"/>
      <x:c r="I160" s="42"/>
      <x:c r="J160" s="42"/>
      <x:c r="K160" s="42"/>
      <x:c r="L160" s="42"/>
      <x:c r="M160" s="42"/>
    </x:row>
    <x:row r="161">
      <x:c r="A161" s="42"/>
      <x:c r="B161" s="42"/>
      <x:c r="C161" s="42"/>
      <x:c r="D161" s="42"/>
      <x:c r="E161" s="42"/>
      <x:c r="F161" s="42"/>
      <x:c r="G161" s="42"/>
      <x:c r="H161" s="42"/>
      <x:c r="I161" s="42"/>
      <x:c r="J161" s="42"/>
      <x:c r="K161" s="42"/>
      <x:c r="L161" s="42"/>
      <x:c r="M161" s="42"/>
    </x:row>
    <x:row r="162">
      <x:c r="A162" s="42"/>
      <x:c r="B162" s="42"/>
      <x:c r="C162" s="42"/>
      <x:c r="D162" s="42"/>
      <x:c r="E162" s="42"/>
      <x:c r="F162" s="42"/>
      <x:c r="G162" s="42"/>
      <x:c r="H162" s="42"/>
      <x:c r="I162" s="42"/>
      <x:c r="J162" s="42"/>
      <x:c r="K162" s="42"/>
      <x:c r="L162" s="42"/>
      <x:c r="M162" s="42"/>
    </x:row>
    <x:row r="163">
      <x:c r="A163" s="42"/>
      <x:c r="B163" s="42"/>
      <x:c r="C163" s="42"/>
      <x:c r="D163" s="42"/>
      <x:c r="E163" s="42"/>
      <x:c r="F163" s="42"/>
      <x:c r="G163" s="42"/>
      <x:c r="H163" s="42"/>
      <x:c r="I163" s="42"/>
      <x:c r="J163" s="42"/>
      <x:c r="K163" s="42"/>
      <x:c r="L163" s="42"/>
      <x:c r="M163" s="42"/>
    </x:row>
    <x:row r="164">
      <x:c r="A164" s="42"/>
      <x:c r="B164" s="42"/>
      <x:c r="C164" s="42"/>
      <x:c r="D164" s="42"/>
      <x:c r="E164" s="42"/>
      <x:c r="F164" s="42"/>
      <x:c r="G164" s="42"/>
      <x:c r="H164" s="42"/>
      <x:c r="I164" s="42"/>
      <x:c r="J164" s="42"/>
      <x:c r="K164" s="42"/>
      <x:c r="L164" s="42"/>
      <x:c r="M164" s="42"/>
    </x:row>
    <x:row r="165">
      <x:c r="A165" s="42"/>
      <x:c r="B165" s="42"/>
      <x:c r="C165" s="42"/>
      <x:c r="D165" s="42"/>
      <x:c r="E165" s="42"/>
      <x:c r="F165" s="42"/>
      <x:c r="G165" s="42"/>
      <x:c r="H165" s="42"/>
      <x:c r="I165" s="42"/>
      <x:c r="J165" s="42"/>
      <x:c r="K165" s="42"/>
      <x:c r="L165" s="42"/>
      <x:c r="M165" s="42"/>
    </x:row>
    <x:row r="166">
      <x:c r="A166" s="42"/>
      <x:c r="B166" s="42"/>
      <x:c r="C166" s="42"/>
      <x:c r="D166" s="42"/>
      <x:c r="E166" s="42"/>
      <x:c r="F166" s="42"/>
      <x:c r="G166" s="42"/>
      <x:c r="H166" s="42"/>
      <x:c r="I166" s="42"/>
      <x:c r="J166" s="42"/>
      <x:c r="K166" s="42"/>
      <x:c r="L166" s="42"/>
      <x:c r="M166" s="42"/>
    </x:row>
    <x:row r="167">
      <x:c r="A167" s="42"/>
      <x:c r="B167" s="42"/>
      <x:c r="C167" s="42"/>
      <x:c r="D167" s="42"/>
      <x:c r="E167" s="42"/>
      <x:c r="F167" s="42"/>
      <x:c r="G167" s="42"/>
      <x:c r="H167" s="42"/>
      <x:c r="I167" s="42"/>
      <x:c r="J167" s="42"/>
      <x:c r="K167" s="42"/>
      <x:c r="L167" s="42"/>
      <x:c r="M167" s="42"/>
    </x:row>
    <x:row r="168">
      <x:c r="A168" s="42"/>
      <x:c r="B168" s="42"/>
      <x:c r="C168" s="42"/>
      <x:c r="D168" s="42"/>
      <x:c r="E168" s="42"/>
      <x:c r="F168" s="42"/>
      <x:c r="G168" s="42"/>
      <x:c r="H168" s="42"/>
      <x:c r="I168" s="42"/>
      <x:c r="J168" s="42"/>
      <x:c r="K168" s="42"/>
      <x:c r="L168" s="42"/>
      <x:c r="M168" s="42"/>
    </x:row>
    <x:row r="169">
      <x:c r="A169" s="42"/>
      <x:c r="B169" s="42"/>
      <x:c r="C169" s="42"/>
      <x:c r="D169" s="42"/>
      <x:c r="E169" s="42"/>
      <x:c r="F169" s="42"/>
      <x:c r="G169" s="42"/>
      <x:c r="H169" s="42"/>
      <x:c r="I169" s="42"/>
      <x:c r="J169" s="42"/>
      <x:c r="K169" s="42"/>
      <x:c r="L169" s="42"/>
      <x:c r="M169" s="42"/>
    </x:row>
    <x:row r="170">
      <x:c r="A170" s="42"/>
      <x:c r="B170" s="42"/>
      <x:c r="C170" s="42"/>
      <x:c r="D170" s="42"/>
      <x:c r="E170" s="42"/>
      <x:c r="F170" s="42"/>
      <x:c r="G170" s="42"/>
      <x:c r="H170" s="42"/>
      <x:c r="I170" s="42"/>
      <x:c r="J170" s="42"/>
      <x:c r="K170" s="42"/>
      <x:c r="L170" s="42"/>
      <x:c r="M170" s="42"/>
    </x:row>
    <x:row r="171">
      <x:c r="A171" s="42"/>
      <x:c r="B171" s="42"/>
      <x:c r="C171" s="42"/>
      <x:c r="D171" s="42"/>
      <x:c r="E171" s="42"/>
      <x:c r="F171" s="42"/>
      <x:c r="G171" s="42"/>
      <x:c r="H171" s="42"/>
      <x:c r="I171" s="42"/>
      <x:c r="J171" s="42"/>
      <x:c r="K171" s="42"/>
      <x:c r="L171" s="42"/>
      <x:c r="M171" s="42"/>
    </x:row>
    <x:row r="172">
      <x:c r="A172" s="42"/>
      <x:c r="B172" s="42"/>
      <x:c r="C172" s="42"/>
      <x:c r="D172" s="42"/>
      <x:c r="E172" s="42"/>
      <x:c r="F172" s="42"/>
      <x:c r="G172" s="42"/>
      <x:c r="H172" s="42"/>
      <x:c r="I172" s="42"/>
      <x:c r="J172" s="42"/>
      <x:c r="K172" s="42"/>
      <x:c r="L172" s="42"/>
      <x:c r="M172" s="42"/>
    </x:row>
    <x:row r="173">
      <x:c r="A173" s="42"/>
      <x:c r="B173" s="42"/>
      <x:c r="C173" s="42"/>
      <x:c r="D173" s="42"/>
      <x:c r="E173" s="42"/>
      <x:c r="F173" s="42"/>
      <x:c r="G173" s="42"/>
      <x:c r="H173" s="42"/>
      <x:c r="I173" s="42"/>
      <x:c r="J173" s="42"/>
      <x:c r="K173" s="42"/>
      <x:c r="L173" s="42"/>
      <x:c r="M173" s="42"/>
    </x:row>
    <x:row r="174">
      <x:c r="A174" s="42"/>
      <x:c r="B174" s="42"/>
      <x:c r="C174" s="42"/>
      <x:c r="D174" s="42"/>
      <x:c r="E174" s="42"/>
      <x:c r="F174" s="42"/>
      <x:c r="G174" s="42"/>
      <x:c r="H174" s="42"/>
      <x:c r="I174" s="42"/>
      <x:c r="J174" s="42"/>
      <x:c r="K174" s="42"/>
      <x:c r="L174" s="42"/>
      <x:c r="M174" s="42"/>
    </x:row>
    <x:row r="175">
      <x:c r="A175" s="42"/>
      <x:c r="B175" s="42"/>
      <x:c r="C175" s="42"/>
      <x:c r="D175" s="42"/>
      <x:c r="E175" s="42"/>
      <x:c r="F175" s="42"/>
      <x:c r="G175" s="42"/>
      <x:c r="H175" s="42"/>
      <x:c r="I175" s="42"/>
      <x:c r="J175" s="42"/>
      <x:c r="K175" s="42"/>
      <x:c r="L175" s="42"/>
      <x:c r="M175" s="42"/>
    </x:row>
    <x:row r="176">
      <x:c r="A176" s="42"/>
      <x:c r="B176" s="42"/>
      <x:c r="C176" s="42"/>
      <x:c r="D176" s="42"/>
      <x:c r="E176" s="42"/>
      <x:c r="F176" s="42"/>
      <x:c r="G176" s="42"/>
      <x:c r="H176" s="42"/>
      <x:c r="I176" s="42"/>
      <x:c r="J176" s="42"/>
      <x:c r="K176" s="42"/>
      <x:c r="L176" s="42"/>
      <x:c r="M176" s="42"/>
    </x:row>
    <x:row r="177">
      <x:c r="A177" s="42"/>
      <x:c r="B177" s="42"/>
      <x:c r="C177" s="42"/>
      <x:c r="D177" s="42"/>
      <x:c r="E177" s="42"/>
      <x:c r="F177" s="42"/>
      <x:c r="G177" s="42"/>
      <x:c r="H177" s="42"/>
      <x:c r="I177" s="42"/>
      <x:c r="J177" s="42"/>
      <x:c r="K177" s="42"/>
      <x:c r="L177" s="42"/>
      <x:c r="M177" s="42"/>
    </x:row>
    <x:row r="178">
      <x:c r="A178" s="42"/>
      <x:c r="B178" s="42"/>
      <x:c r="C178" s="42"/>
      <x:c r="D178" s="42"/>
      <x:c r="E178" s="42"/>
      <x:c r="F178" s="42"/>
      <x:c r="G178" s="42"/>
      <x:c r="H178" s="42"/>
      <x:c r="I178" s="42"/>
      <x:c r="J178" s="42"/>
      <x:c r="K178" s="42"/>
      <x:c r="L178" s="42"/>
      <x:c r="M178" s="42"/>
    </x:row>
    <x:row r="179">
      <x:c r="A179" s="42"/>
      <x:c r="B179" s="42"/>
      <x:c r="C179" s="42"/>
      <x:c r="D179" s="42"/>
      <x:c r="E179" s="42"/>
      <x:c r="F179" s="42"/>
      <x:c r="G179" s="42"/>
      <x:c r="H179" s="42"/>
      <x:c r="I179" s="42"/>
      <x:c r="J179" s="42"/>
      <x:c r="K179" s="42"/>
      <x:c r="L179" s="42"/>
      <x:c r="M179" s="42"/>
    </x:row>
    <x:row r="180">
      <x:c r="A180" s="42"/>
      <x:c r="B180" s="42"/>
      <x:c r="C180" s="42"/>
      <x:c r="D180" s="42"/>
      <x:c r="E180" s="42"/>
      <x:c r="F180" s="42"/>
      <x:c r="G180" s="42"/>
      <x:c r="H180" s="42"/>
      <x:c r="I180" s="42"/>
      <x:c r="J180" s="42"/>
      <x:c r="K180" s="42"/>
      <x:c r="L180" s="42"/>
      <x:c r="M180" s="42"/>
    </x:row>
    <x:row r="181">
      <x:c r="A181" s="42"/>
      <x:c r="B181" s="42"/>
      <x:c r="C181" s="42"/>
      <x:c r="D181" s="42"/>
      <x:c r="E181" s="42"/>
      <x:c r="F181" s="42"/>
      <x:c r="G181" s="42"/>
      <x:c r="H181" s="42"/>
      <x:c r="I181" s="42"/>
      <x:c r="J181" s="42"/>
      <x:c r="K181" s="42"/>
      <x:c r="L181" s="42"/>
      <x:c r="M181" s="42"/>
    </x:row>
    <x:row r="182">
      <x:c r="A182" s="42"/>
      <x:c r="B182" s="42"/>
      <x:c r="C182" s="42"/>
      <x:c r="D182" s="42"/>
      <x:c r="E182" s="42"/>
      <x:c r="F182" s="42"/>
      <x:c r="G182" s="42"/>
      <x:c r="H182" s="42"/>
      <x:c r="I182" s="42"/>
      <x:c r="J182" s="42"/>
      <x:c r="K182" s="42"/>
      <x:c r="L182" s="42"/>
      <x:c r="M182" s="42"/>
    </x:row>
    <x:row r="183">
      <x:c r="A183" s="42"/>
      <x:c r="B183" s="42"/>
      <x:c r="C183" s="42"/>
      <x:c r="D183" s="42"/>
      <x:c r="E183" s="42"/>
      <x:c r="F183" s="42"/>
      <x:c r="G183" s="42"/>
      <x:c r="H183" s="42"/>
      <x:c r="I183" s="42"/>
      <x:c r="J183" s="42"/>
      <x:c r="K183" s="42"/>
      <x:c r="L183" s="42"/>
      <x:c r="M183" s="42"/>
    </x:row>
    <x:row r="184">
      <x:c r="A184" s="42"/>
      <x:c r="B184" s="42"/>
      <x:c r="C184" s="42"/>
      <x:c r="D184" s="42"/>
      <x:c r="E184" s="42"/>
      <x:c r="F184" s="42"/>
      <x:c r="G184" s="42"/>
      <x:c r="H184" s="42"/>
      <x:c r="I184" s="42"/>
      <x:c r="J184" s="42"/>
      <x:c r="K184" s="42"/>
      <x:c r="L184" s="42"/>
      <x:c r="M184" s="42"/>
    </x:row>
    <x:row r="185">
      <x:c r="A185" s="42"/>
      <x:c r="B185" s="42"/>
      <x:c r="C185" s="42"/>
      <x:c r="D185" s="42"/>
      <x:c r="E185" s="42"/>
      <x:c r="F185" s="42"/>
      <x:c r="G185" s="42"/>
      <x:c r="H185" s="42"/>
      <x:c r="I185" s="42"/>
      <x:c r="J185" s="42"/>
      <x:c r="K185" s="42"/>
      <x:c r="L185" s="42"/>
      <x:c r="M185" s="42"/>
    </x:row>
    <x:row r="186">
      <x:c r="A186" s="42"/>
      <x:c r="B186" s="42"/>
      <x:c r="C186" s="42"/>
      <x:c r="D186" s="42"/>
      <x:c r="E186" s="42"/>
      <x:c r="F186" s="42"/>
      <x:c r="G186" s="42"/>
      <x:c r="H186" s="42"/>
      <x:c r="I186" s="42"/>
      <x:c r="J186" s="42"/>
      <x:c r="K186" s="42"/>
      <x:c r="L186" s="42"/>
      <x:c r="M186" s="42"/>
    </x:row>
    <x:row r="187">
      <x:c r="A187" s="42"/>
      <x:c r="B187" s="42"/>
      <x:c r="C187" s="42"/>
      <x:c r="D187" s="42"/>
      <x:c r="E187" s="42"/>
      <x:c r="F187" s="42"/>
      <x:c r="G187" s="42"/>
      <x:c r="H187" s="42"/>
      <x:c r="I187" s="42"/>
      <x:c r="J187" s="42"/>
      <x:c r="K187" s="42"/>
      <x:c r="L187" s="42"/>
      <x:c r="M187" s="42"/>
    </x:row>
    <x:row r="188">
      <x:c r="A188" s="42"/>
      <x:c r="B188" s="42"/>
      <x:c r="C188" s="42"/>
      <x:c r="D188" s="42"/>
      <x:c r="E188" s="42"/>
      <x:c r="F188" s="42"/>
      <x:c r="G188" s="42"/>
      <x:c r="H188" s="42"/>
      <x:c r="I188" s="42"/>
      <x:c r="J188" s="42"/>
      <x:c r="K188" s="42"/>
      <x:c r="L188" s="42"/>
      <x:c r="M188" s="42"/>
    </x:row>
    <x:row r="189">
      <x:c r="A189" s="42"/>
      <x:c r="B189" s="42"/>
      <x:c r="C189" s="42"/>
      <x:c r="D189" s="42"/>
      <x:c r="E189" s="42"/>
      <x:c r="F189" s="42"/>
      <x:c r="G189" s="42"/>
      <x:c r="H189" s="42"/>
      <x:c r="I189" s="42"/>
      <x:c r="J189" s="42"/>
      <x:c r="K189" s="42"/>
      <x:c r="L189" s="42"/>
      <x:c r="M189" s="42"/>
    </x:row>
    <x:row r="190">
      <x:c r="A190" s="42"/>
      <x:c r="B190" s="42"/>
      <x:c r="C190" s="42"/>
      <x:c r="D190" s="42"/>
      <x:c r="E190" s="42"/>
      <x:c r="F190" s="42"/>
      <x:c r="G190" s="42"/>
      <x:c r="H190" s="42"/>
      <x:c r="I190" s="42"/>
      <x:c r="J190" s="42"/>
      <x:c r="K190" s="42"/>
      <x:c r="L190" s="42"/>
      <x:c r="M190" s="42"/>
    </x:row>
    <x:row r="191">
      <x:c r="A191" s="42"/>
      <x:c r="B191" s="42"/>
      <x:c r="C191" s="42"/>
      <x:c r="D191" s="42"/>
      <x:c r="E191" s="42"/>
      <x:c r="F191" s="42"/>
      <x:c r="G191" s="42"/>
      <x:c r="H191" s="42"/>
      <x:c r="I191" s="42"/>
      <x:c r="J191" s="42"/>
      <x:c r="K191" s="42"/>
      <x:c r="L191" s="42"/>
      <x:c r="M191" s="42"/>
    </x:row>
    <x:row r="192">
      <x:c r="A192" s="42"/>
      <x:c r="B192" s="42"/>
      <x:c r="C192" s="42"/>
      <x:c r="D192" s="42"/>
      <x:c r="E192" s="42"/>
      <x:c r="F192" s="42"/>
      <x:c r="G192" s="42"/>
      <x:c r="H192" s="42"/>
      <x:c r="I192" s="42"/>
      <x:c r="J192" s="42"/>
      <x:c r="K192" s="42"/>
      <x:c r="L192" s="42"/>
      <x:c r="M192" s="42"/>
    </x:row>
    <x:row r="193">
      <x:c r="A193" s="42"/>
      <x:c r="B193" s="42"/>
      <x:c r="C193" s="42"/>
      <x:c r="D193" s="42"/>
      <x:c r="E193" s="42"/>
      <x:c r="F193" s="42"/>
      <x:c r="G193" s="42"/>
      <x:c r="H193" s="42"/>
      <x:c r="I193" s="42"/>
      <x:c r="J193" s="42"/>
      <x:c r="K193" s="42"/>
      <x:c r="L193" s="42"/>
      <x:c r="M193" s="42"/>
    </x:row>
    <x:row r="194">
      <x:c r="A194" s="42"/>
      <x:c r="B194" s="42"/>
      <x:c r="C194" s="42"/>
      <x:c r="D194" s="42"/>
      <x:c r="E194" s="42"/>
      <x:c r="F194" s="42"/>
      <x:c r="G194" s="42"/>
      <x:c r="H194" s="42"/>
      <x:c r="I194" s="42"/>
      <x:c r="J194" s="42"/>
      <x:c r="K194" s="42"/>
      <x:c r="L194" s="42"/>
      <x:c r="M194" s="42"/>
    </x:row>
    <x:row r="195">
      <x:c r="A195" s="42"/>
      <x:c r="B195" s="42"/>
      <x:c r="C195" s="42"/>
      <x:c r="D195" s="42"/>
      <x:c r="E195" s="42"/>
      <x:c r="F195" s="42"/>
      <x:c r="G195" s="42"/>
      <x:c r="H195" s="42"/>
      <x:c r="I195" s="42"/>
      <x:c r="J195" s="42"/>
      <x:c r="K195" s="42"/>
      <x:c r="L195" s="42"/>
      <x:c r="M195" s="42"/>
    </x:row>
    <x:row r="196">
      <x:c r="A196" s="42"/>
      <x:c r="B196" s="42"/>
      <x:c r="C196" s="42"/>
      <x:c r="D196" s="42"/>
      <x:c r="E196" s="42"/>
      <x:c r="F196" s="42"/>
      <x:c r="G196" s="42"/>
      <x:c r="H196" s="42"/>
      <x:c r="I196" s="42"/>
      <x:c r="J196" s="42"/>
      <x:c r="K196" s="42"/>
      <x:c r="L196" s="42"/>
      <x:c r="M196" s="42"/>
    </x:row>
    <x:row r="197">
      <x:c r="A197" s="42"/>
      <x:c r="B197" s="42"/>
      <x:c r="C197" s="42"/>
      <x:c r="D197" s="42"/>
      <x:c r="E197" s="42"/>
      <x:c r="F197" s="42"/>
      <x:c r="G197" s="42"/>
      <x:c r="H197" s="42"/>
      <x:c r="I197" s="42"/>
      <x:c r="J197" s="42"/>
      <x:c r="K197" s="42"/>
      <x:c r="L197" s="42"/>
      <x:c r="M197" s="42"/>
    </x:row>
    <x:row r="198">
      <x:c r="A198" s="42"/>
      <x:c r="B198" s="42"/>
      <x:c r="C198" s="42"/>
      <x:c r="D198" s="42"/>
      <x:c r="E198" s="42"/>
      <x:c r="F198" s="42"/>
      <x:c r="G198" s="42"/>
      <x:c r="H198" s="42"/>
      <x:c r="I198" s="42"/>
      <x:c r="J198" s="42"/>
      <x:c r="K198" s="42"/>
      <x:c r="L198" s="42"/>
      <x:c r="M198" s="42"/>
    </x:row>
    <x:row r="199">
      <x:c r="A199" s="42"/>
      <x:c r="B199" s="42"/>
      <x:c r="C199" s="42"/>
      <x:c r="D199" s="42"/>
      <x:c r="E199" s="42"/>
      <x:c r="F199" s="42"/>
      <x:c r="G199" s="42"/>
      <x:c r="H199" s="42"/>
      <x:c r="I199" s="42"/>
      <x:c r="J199" s="42"/>
      <x:c r="K199" s="42"/>
      <x:c r="L199" s="42"/>
      <x:c r="M199" s="42"/>
    </x:row>
    <x:row r="200">
      <x:c r="A200" s="42"/>
      <x:c r="B200" s="42"/>
      <x:c r="C200" s="42"/>
      <x:c r="D200" s="42"/>
      <x:c r="E200" s="42"/>
      <x:c r="F200" s="42"/>
      <x:c r="G200" s="42"/>
      <x:c r="H200" s="42"/>
      <x:c r="I200" s="42"/>
      <x:c r="J200" s="42"/>
      <x:c r="K200" s="42"/>
      <x:c r="L200" s="42"/>
      <x:c r="M200" s="42"/>
    </x:row>
  </x:sheetData>
  <x:mergeCells>
    <x:mergeCell ref="A1:M1"/>
    <x:mergeCell ref="A2:M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.630001068115234" hidden="0" customWidth="1"/>
    <x:col min="2" max="2" width="11.880000114440918" hidden="0" customWidth="1"/>
    <x:col min="3" max="3" width="11.880000114440918" hidden="0" customWidth="1"/>
    <x:col min="4" max="4" width="11.880000114440918" hidden="0" customWidth="1"/>
    <x:col min="5" max="5" width="11.880000114440918" hidden="0" customWidth="1"/>
    <x:col min="6" max="6" width="11.880000114440918" hidden="0" customWidth="1"/>
    <x:col min="7" max="7" width="11.880000114440918" hidden="0" customWidth="1"/>
    <x:col min="8" max="8" width="11.880000114440918" hidden="0" customWidth="1"/>
    <x:col min="9" max="9" width="11.880000114440918" hidden="0" customWidth="1"/>
    <x:col min="10" max="10" width="11.880000114440918" hidden="0" customWidth="1"/>
    <x:col min="11" max="11" width="11.880000114440918" hidden="0" customWidth="1"/>
    <x:col min="12" max="12" width="11.880000114440918" hidden="0" customWidth="1"/>
    <x:col min="13" max="13" width="11.880000114440918" hidden="0" customWidth="1"/>
    <x:col min="15" max="15" width="26.25" hidden="0" customWidth="1"/>
    <x:col min="16" max="16" width="15" hidden="0" customWidth="1"/>
    <x:col min="17" max="17" width="15" hidden="0" customWidth="1"/>
    <x:col min="18" max="18" width="15" hidden="0" customWidth="1"/>
  </x:cols>
  <x:sheetData>
    <x:row r="1" ht="25.5" customHeight="1">
      <x:c r="A1" s="41" t="str">
        <x:v>Лист 11. Прогноз прибыли и итоговая таблица для комиссии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</x:row>
    <x:row r="2" ht="22.5" customHeight="1">
      <x:c r="A2" s="43" t="str">
        <x:v>P&amp;L: revenue, gross profit, EBITDA, net profit, cumulative profit, users and paying clients.</x:v>
      </x:c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</x:row>
    <x:row r="3">
      <x:c r="A3" s="42"/>
      <x:c r="B3" s="42"/>
      <x:c r="C3" s="42"/>
      <x:c r="D3" s="42"/>
      <x:c r="E3" s="42"/>
      <x:c r="F3" s="42"/>
      <x:c r="G3" s="42"/>
      <x:c r="H3" s="42"/>
      <x:c r="I3" s="42"/>
      <x:c r="J3" s="42"/>
      <x:c r="K3" s="42"/>
      <x:c r="L3" s="42"/>
      <x:c r="M3" s="42"/>
    </x:row>
    <x:row r="4">
      <x:c r="A4" s="44" t="str">
        <x:v>Показатель</x:v>
      </x:c>
      <x:c r="B4" s="44" t="str">
        <x:v>М1</x:v>
      </x:c>
      <x:c r="C4" s="44" t="str">
        <x:v>М2</x:v>
      </x:c>
      <x:c r="D4" s="44" t="str">
        <x:v>М3</x:v>
      </x:c>
      <x:c r="E4" s="44" t="str">
        <x:v>М4</x:v>
      </x:c>
      <x:c r="F4" s="44" t="str">
        <x:v>М5</x:v>
      </x:c>
      <x:c r="G4" s="44" t="str">
        <x:v>М6</x:v>
      </x:c>
      <x:c r="H4" s="44" t="str">
        <x:v>М7</x:v>
      </x:c>
      <x:c r="I4" s="44" t="str">
        <x:v>М8</x:v>
      </x:c>
      <x:c r="J4" s="44" t="str">
        <x:v>М9</x:v>
      </x:c>
      <x:c r="K4" s="44" t="str">
        <x:v>М10</x:v>
      </x:c>
      <x:c r="L4" s="44" t="str">
        <x:v>М11</x:v>
      </x:c>
      <x:c r="M4" s="44" t="str">
        <x:v>М12</x:v>
      </x:c>
      <x:c r="O4" s="13" t="str">
        <x:v>Итог для комиссии</x:v>
      </x:c>
      <x:c r="P4" s="13" t="str">
        <x:v>2-3 мес.</x:v>
      </x:c>
      <x:c r="Q4" s="13" t="str">
        <x:v>3-6 мес.</x:v>
      </x:c>
      <x:c r="R4" s="13" t="str">
        <x:v>12 мес.</x:v>
      </x:c>
    </x:row>
    <x:row r="5">
      <x:c r="A5" s="45" t="str">
        <x:v>Revenue</x:v>
      </x:c>
      <x:c r="B5" s="54" t="n">
        <x:f>'Доходы'!B17</x:f>
        <x:v>397.203534</x:v>
      </x:c>
      <x:c r="C5" s="54" t="n">
        <x:f>'Доходы'!C17</x:f>
        <x:v>993.0088350000001</x:v>
      </x:c>
      <x:c r="D5" s="54" t="n">
        <x:f>'Доходы'!D17</x:f>
        <x:v>2780.424738</x:v>
      </x:c>
      <x:c r="E5" s="54" t="n">
        <x:f>'Доходы'!E17</x:f>
        <x:v>6255.955660500002</x:v>
      </x:c>
      <x:c r="F5" s="54" t="n">
        <x:f>'Доходы'!F17</x:f>
        <x:v>13504.920156000002</x:v>
      </x:c>
      <x:c r="G5" s="54" t="n">
        <x:f>'Доходы'!G17</x:f>
        <x:v>27208.442079000004</x:v>
      </x:c>
      <x:c r="H5" s="54" t="n">
        <x:f>'Доходы'!H17</x:f>
        <x:v>49749.742633500005</x:v>
      </x:c>
      <x:c r="I5" s="54" t="n">
        <x:f>'Доходы'!I17</x:f>
        <x:v>87086.8748295</x:v>
      </x:c>
      <x:c r="J5" s="54" t="n">
        <x:f>'Доходы'!J17</x:f>
        <x:v>140808.652803</x:v>
      </x:c>
      <x:c r="K5" s="54" t="n">
        <x:f>'Доходы'!K17</x:f>
        <x:v>219256.35076799997</x:v>
      </x:c>
      <x:c r="L5" s="54" t="n">
        <x:f>'Доходы'!L17</x:f>
        <x:v>322132.06607400003</x:v>
      </x:c>
      <x:c r="M5" s="54" t="n">
        <x:f>'Доходы'!M17</x:f>
        <x:v>450627.409323</x:v>
      </x:c>
      <x:c r="O5" s="16" t="str">
        <x:v>Выручка</x:v>
      </x:c>
      <x:c r="P5" s="26" t="n">
        <x:f>SUM(C5:D5)</x:f>
        <x:v>3773.4335730000003</x:v>
      </x:c>
      <x:c r="Q5" s="26" t="n">
        <x:f>SUM(D5:G5)</x:f>
        <x:v>49749.742633500005</x:v>
      </x:c>
      <x:c r="R5" s="26" t="n">
        <x:f>SUM(B5:M5)</x:f>
        <x:v>1320801.0514335</x:v>
      </x:c>
    </x:row>
    <x:row r="6">
      <x:c r="A6" s="45" t="str">
        <x:v>Variable costs</x:v>
      </x:c>
      <x:c r="B6" s="54" t="n">
        <x:f>'Расходы'!B23</x:f>
        <x:v>212.81098443000002</x:v>
      </x:c>
      <x:c r="C6" s="54" t="n">
        <x:f>'Расходы'!C23</x:f>
        <x:v>567.4814089000001</x:v>
      </x:c>
      <x:c r="D6" s="54" t="n">
        <x:f>'Расходы'!D23</x:f>
        <x:v>1429.9659322100001</x:v>
      </x:c>
      <x:c r="E6" s="54" t="n">
        <x:f>'Расходы'!E23</x:f>
        <x:v>2975.0897052850005</x:v>
      </x:c>
      <x:c r="F6" s="54" t="n">
        <x:f>'Расходы'!F23</x:f>
        <x:v>6082.786352770001</x:v>
      </x:c>
      <x:c r="G6" s="54" t="n">
        <x:f>'Расходы'!G23</x:f>
        <x:v>11735.26108473</x:v>
      </x:c>
      <x:c r="H6" s="54" t="n">
        <x:f>'Расходы'!H23</x:f>
        <x:v>20698.098739195</x:v>
      </x:c>
      <x:c r="I6" s="54" t="n">
        <x:f>'Расходы'!I23</x:f>
        <x:v>34876.12972371501</x:v>
      </x:c>
      <x:c r="J6" s="54" t="n">
        <x:f>'Расходы'!J23</x:f>
        <x:v>54413.28886356</x:v>
      </x:c>
      <x:c r="K6" s="54" t="n">
        <x:f>'Расходы'!K23</x:f>
        <x:v>81897.88657181001</x:v>
      </x:c>
      <x:c r="L6" s="54" t="n">
        <x:f>'Расходы'!L23</x:f>
        <x:v>116268.69418223001</x:v>
      </x:c>
      <x:c r="M6" s="54" t="n">
        <x:f>'Расходы'!M23</x:f>
        <x:v>157856.35452296003</x:v>
      </x:c>
      <x:c r="O6" s="16" t="str">
        <x:v>Net Profit</x:v>
      </x:c>
      <x:c r="P6" s="26" t="n">
        <x:f>SUM(C10:D10)</x:f>
        <x:v>-203840.41978249</x:v>
      </x:c>
      <x:c r="Q6" s="26" t="n">
        <x:f>SUM(D10:G10)</x:f>
        <x:v>-629758.344999505</x:v>
      </x:c>
      <x:c r="R6" s="26" t="n">
        <x:f>SUM(B10:M10)</x:f>
        <x:v>-2037800.859724305</x:v>
      </x:c>
    </x:row>
    <x:row r="7">
      <x:c r="A7" s="45" t="str">
        <x:v>Gross Profit</x:v>
      </x:c>
      <x:c r="B7" s="54" t="n">
        <x:f>B5-B6</x:f>
        <x:v>184.39254956999997</x:v>
      </x:c>
      <x:c r="C7" s="54" t="n">
        <x:f>C5-C6</x:f>
        <x:v>425.52742609999996</x:v>
      </x:c>
      <x:c r="D7" s="54" t="n">
        <x:f>D5-D6</x:f>
        <x:v>1350.45880579</x:v>
      </x:c>
      <x:c r="E7" s="54" t="n">
        <x:f>E5-E6</x:f>
        <x:v>3280.865955215001</x:v>
      </x:c>
      <x:c r="F7" s="54" t="n">
        <x:f>F5-F6</x:f>
        <x:v>7422.133803230001</x:v>
      </x:c>
      <x:c r="G7" s="54" t="n">
        <x:f>G5-G6</x:f>
        <x:v>15473.180994270004</x:v>
      </x:c>
      <x:c r="H7" s="54" t="n">
        <x:f>H5-H6</x:f>
        <x:v>29051.643894305005</x:v>
      </x:c>
      <x:c r="I7" s="54" t="n">
        <x:f>I5-I6</x:f>
        <x:v>52210.74510578499</x:v>
      </x:c>
      <x:c r="J7" s="54" t="n">
        <x:f>J5-J6</x:f>
        <x:v>86395.36393944</x:v>
      </x:c>
      <x:c r="K7" s="54" t="n">
        <x:f>K5-K6</x:f>
        <x:v>137358.46419618995</x:v>
      </x:c>
      <x:c r="L7" s="54" t="n">
        <x:f>L5-L6</x:f>
        <x:v>205863.37189177002</x:v>
      </x:c>
      <x:c r="M7" s="54" t="n">
        <x:f>M5-M6</x:f>
        <x:v>292771.05480004</x:v>
      </x:c>
      <x:c r="O7" s="16" t="str">
        <x:v>EBITDA</x:v>
      </x:c>
      <x:c r="P7" s="26" t="n">
        <x:f>SUM(C8:D8)</x:f>
        <x:v>-203387.60775373003</x:v>
      </x:c>
      <x:c r="Q7" s="26" t="n">
        <x:f>SUM(D8:G8)</x:f>
        <x:v>-623788.375883485</x:v>
      </x:c>
      <x:c r="R7" s="26" t="n">
        <x:f>SUM(B8:M8)</x:f>
        <x:v>-1879304.7335522852</x:v>
      </x:c>
    </x:row>
    <x:row r="8">
      <x:c r="A8" s="45" t="str">
        <x:v>EBITDA</x:v>
      </x:c>
      <x:c r="B8" s="54" t="n">
        <x:f>B5-'Расходы'!B24-'Расходы'!B23+'Расходы'!B22</x:f>
        <x:v>-68741.77523839001</x:v>
      </x:c>
      <x:c r="C8" s="54" t="n">
        <x:f>C5-'Расходы'!C24-'Расходы'!C23+'Расходы'!C22</x:f>
        <x:v>-90604.8920438</x:v>
      </x:c>
      <x:c r="D8" s="54" t="n">
        <x:f>D5-'Расходы'!D24-'Расходы'!D23+'Расходы'!D22</x:f>
        <x:v>-112782.71570993001</x:v>
      </x:c>
      <x:c r="E8" s="54" t="n">
        <x:f>E5-'Расходы'!E24-'Расходы'!E23+'Расходы'!E22</x:f>
        <x:v>-144493.776705155</x:v>
      </x:c>
      <x:c r="F8" s="54" t="n">
        <x:f>F5-'Расходы'!F24-'Расходы'!F23+'Расходы'!F22</x:f>
        <x:v>-170267.57098741</x:v>
      </x:c>
      <x:c r="G8" s="54" t="n">
        <x:f>G5-'Расходы'!G24-'Расходы'!G23+'Расходы'!G22</x:f>
        <x:v>-196244.31248099002</x:v>
      </x:c>
      <x:c r="H8" s="54" t="n">
        <x:f>H5-'Расходы'!H24-'Расходы'!H23+'Расходы'!H22</x:f>
        <x:v>-213513.37154768498</x:v>
      </x:c>
      <x:c r="I8" s="54" t="n">
        <x:f>I5-'Расходы'!I24-'Расходы'!I23+'Расходы'!I22</x:f>
        <x:v>-222314.04240444503</x:v>
      </x:c>
      <x:c r="J8" s="54" t="n">
        <x:f>J5-'Расходы'!J24-'Расходы'!J23+'Расходы'!J22</x:f>
        <x:v>-217106.11689238</x:v>
      </x:c>
      <x:c r="K8" s="54" t="n">
        <x:f>K5-'Расходы'!K24-'Расходы'!K23+'Расходы'!K22</x:f>
        <x:v>-191636.15475773005</x:v>
      </x:c>
      <x:c r="L8" s="54" t="n">
        <x:f>L5-'Расходы'!L24-'Расходы'!L23+'Расходы'!L22</x:f>
        <x:v>-149158.70414378998</x:v>
      </x:c>
      <x:c r="M8" s="54" t="n">
        <x:f>M5-'Расходы'!M24-'Расходы'!M23+'Расходы'!M22</x:f>
        <x:v>-102441.30064058003</x:v>
      </x:c>
      <x:c r="O8" s="16" t="str">
        <x:v>Рост пользователей</x:v>
      </x:c>
      <x:c r="P8" s="27" t="n">
        <x:f>D13-B13</x:f>
        <x:v>647</x:v>
      </x:c>
      <x:c r="Q8" s="27" t="n">
        <x:f>G13-D13</x:f>
        <x:v>4461</x:v>
      </x:c>
      <x:c r="R8" s="27" t="n">
        <x:f>M13-B13</x:f>
        <x:v>49575</x:v>
      </x:c>
    </x:row>
    <x:row r="9">
      <x:c r="A9" s="45" t="str">
        <x:v>Taxes</x:v>
      </x:c>
      <x:c r="B9" s="54" t="n">
        <x:f>'Расходы'!B22</x:f>
        <x:v>23.832212039999998</x:v>
      </x:c>
      <x:c r="C9" s="54" t="n">
        <x:f>'Расходы'!C22</x:f>
        <x:v>59.580530100000004</x:v>
      </x:c>
      <x:c r="D9" s="54" t="n">
        <x:f>'Расходы'!D22</x:f>
        <x:v>166.82548428</x:v>
      </x:c>
      <x:c r="E9" s="54" t="n">
        <x:f>'Расходы'!E22</x:f>
        <x:v>375.35733963000007</x:v>
      </x:c>
      <x:c r="F9" s="54" t="n">
        <x:f>'Расходы'!F22</x:f>
        <x:v>810.2952093600001</x:v>
      </x:c>
      <x:c r="G9" s="54" t="n">
        <x:f>'Расходы'!G22</x:f>
        <x:v>1632.5065247400003</x:v>
      </x:c>
      <x:c r="H9" s="54" t="n">
        <x:f>'Расходы'!H22</x:f>
        <x:v>2984.98455801</x:v>
      </x:c>
      <x:c r="I9" s="54" t="n">
        <x:f>'Расходы'!I22</x:f>
        <x:v>5225.21248977</x:v>
      </x:c>
      <x:c r="J9" s="54" t="n">
        <x:f>'Расходы'!J22</x:f>
        <x:v>8448.51916818</x:v>
      </x:c>
      <x:c r="K9" s="54" t="n">
        <x:f>'Расходы'!K22</x:f>
        <x:v>13155.381046079998</x:v>
      </x:c>
      <x:c r="L9" s="54" t="n">
        <x:f>'Расходы'!L22</x:f>
        <x:v>19327.92396444</x:v>
      </x:c>
      <x:c r="M9" s="54" t="n">
        <x:f>'Расходы'!M22</x:f>
        <x:v>27037.644559379998</x:v>
      </x:c>
      <x:c r="O9" s="16" t="str">
        <x:v>Платящие клиенты на конец периода</x:v>
      </x:c>
      <x:c r="P9" s="27" t="n">
        <x:f>D14</x:f>
        <x:v>22</x:v>
      </x:c>
      <x:c r="Q9" s="27" t="n">
        <x:f>G14</x:f>
        <x:v>195</x:v>
      </x:c>
      <x:c r="R9" s="27" t="n">
        <x:f>M14</x:f>
        <x:v>3013</x:v>
      </x:c>
    </x:row>
    <x:row r="10">
      <x:c r="A10" s="45" t="str">
        <x:v>Net Profit</x:v>
      </x:c>
      <x:c r="B10" s="54" t="n">
        <x:f>B5-'Расходы'!B25</x:f>
        <x:v>-68789.43966246999</x:v>
      </x:c>
      <x:c r="C10" s="54" t="n">
        <x:f>C5-'Расходы'!C25</x:f>
        <x:v>-90724.05310399999</x:v>
      </x:c>
      <x:c r="D10" s="54" t="n">
        <x:f>D5-'Расходы'!D25</x:f>
        <x:v>-113116.36667849</x:v>
      </x:c>
      <x:c r="E10" s="54" t="n">
        <x:f>E5-'Расходы'!E25</x:f>
        <x:v>-145244.49138441499</x:v>
      </x:c>
      <x:c r="F10" s="54" t="n">
        <x:f>F5-'Расходы'!F25</x:f>
        <x:v>-171888.16140612998</x:v>
      </x:c>
      <x:c r="G10" s="54" t="n">
        <x:f>G5-'Расходы'!G25</x:f>
        <x:v>-199509.32553046997</x:v>
      </x:c>
      <x:c r="H10" s="54" t="n">
        <x:f>H5-'Расходы'!H25</x:f>
        <x:v>-219483.34066370502</x:v>
      </x:c>
      <x:c r="I10" s="54" t="n">
        <x:f>I5-'Расходы'!I25</x:f>
        <x:v>-232764.46738398506</x:v>
      </x:c>
      <x:c r="J10" s="54" t="n">
        <x:f>J5-'Расходы'!J25</x:f>
        <x:v>-234003.15522873995</x:v>
      </x:c>
      <x:c r="K10" s="54" t="n">
        <x:f>K5-'Расходы'!K25</x:f>
        <x:v>-217946.91684989</x:v>
      </x:c>
      <x:c r="L10" s="54" t="n">
        <x:f>L5-'Расходы'!L25</x:f>
        <x:v>-187814.55207266996</x:v>
      </x:c>
      <x:c r="M10" s="54" t="n">
        <x:f>M5-'Расходы'!M25</x:f>
        <x:v>-156516.58975934004</x:v>
      </x:c>
      <x:c r="O10" s="16" t="str">
        <x:v>MRR на конец периода</x:v>
      </x:c>
      <x:c r="P10" s="26" t="n">
        <x:f>D15</x:f>
        <x:v>2780.424738</x:v>
      </x:c>
      <x:c r="Q10" s="26" t="n">
        <x:f>G15</x:f>
        <x:v>27208.442079000004</x:v>
      </x:c>
      <x:c r="R10" s="26" t="n">
        <x:f>M15</x:f>
        <x:v>450627.409323</x:v>
      </x:c>
    </x:row>
    <x:row r="11">
      <x:c r="A11" s="45" t="str">
        <x:v>Net Margin</x:v>
      </x:c>
      <x:c r="B11" s="63" t="n">
        <x:f>IFERROR(B10/B5,0)</x:f>
        <x:v>-173.1843595894844</x:v>
      </x:c>
      <x:c r="C11" s="63" t="n">
        <x:f>IFERROR(C10/C5,0)</x:f>
        <x:v>-91.36278541167258</x:v>
      </x:c>
      <x:c r="D11" s="63" t="n">
        <x:f>IFERROR(D10/D5,0)</x:f>
        <x:v>-40.683124823531905</x:v>
      </x:c>
      <x:c r="E11" s="63" t="n">
        <x:f>IFERROR(E10/E5,0)</x:f>
        <x:v>-23.216995015083988</x:v>
      </x:c>
      <x:c r="F11" s="63" t="n">
        <x:f>IFERROR(F10/F5,0)</x:f>
        <x:v>-12.727817670936991</x:v>
      </x:c>
      <x:c r="G11" s="63" t="n">
        <x:f>IFERROR(G10/G5,0)</x:f>
        <x:v>-7.332625842787783</x:v>
      </x:c>
      <x:c r="H11" s="63" t="n">
        <x:f>IFERROR(H10/H5,0)</x:f>
        <x:v>-4.411748263314863</x:v>
      </x:c>
      <x:c r="I11" s="63" t="n">
        <x:f>IFERROR(I10/I5,0)</x:f>
        <x:v>-2.672784708828912</x:v>
      </x:c>
      <x:c r="J11" s="63" t="n">
        <x:f>IFERROR(J10/J5,0)</x:f>
        <x:v>-1.6618520990760761</x:v>
      </x:c>
      <x:c r="K11" s="63" t="n">
        <x:f>IFERROR(K10/K5,0)</x:f>
        <x:v>-0.9940278404090765</x:v>
      </x:c>
      <x:c r="L11" s="63" t="n">
        <x:f>IFERROR(L10/L5,0)</x:f>
        <x:v>-0.58303587830193</x:v>
      </x:c>
      <x:c r="M11" s="63" t="n">
        <x:f>IFERROR(M10/M5,0)</x:f>
        <x:v>-0.3473303809781183</x:v>
      </x:c>
      <x:c r="O11" s="16" t="str">
        <x:v>ARR run-rate на конец периода</x:v>
      </x:c>
      <x:c r="P11" s="26" t="n">
        <x:f>D16</x:f>
        <x:v>33365.096856000004</x:v>
      </x:c>
      <x:c r="Q11" s="26" t="n">
        <x:f>G16</x:f>
        <x:v>326501.30494800006</x:v>
      </x:c>
      <x:c r="R11" s="26" t="n">
        <x:f>M16</x:f>
        <x:v>5407528.911876</x:v>
      </x:c>
    </x:row>
    <x:row r="12">
      <x:c r="A12" s="45" t="str">
        <x:v>Cumulative Net Profit</x:v>
      </x:c>
      <x:c r="B12" s="54" t="n">
        <x:f>B10</x:f>
        <x:v>-68789.43966246999</x:v>
      </x:c>
      <x:c r="C12" s="54" t="n">
        <x:f>B12+C10</x:f>
        <x:v>-159513.49276646998</x:v>
      </x:c>
      <x:c r="D12" s="54" t="n">
        <x:f>C12+D10</x:f>
        <x:v>-272629.85944495996</x:v>
      </x:c>
      <x:c r="E12" s="54" t="n">
        <x:f>D12+E10</x:f>
        <x:v>-417874.350829375</x:v>
      </x:c>
      <x:c r="F12" s="54" t="n">
        <x:f>E12+F10</x:f>
        <x:v>-589762.5122355049</x:v>
      </x:c>
      <x:c r="G12" s="54" t="n">
        <x:f>F12+G10</x:f>
        <x:v>-789271.8377659749</x:v>
      </x:c>
      <x:c r="H12" s="54" t="n">
        <x:f>G12+H10</x:f>
        <x:v>-1008755.17842968</x:v>
      </x:c>
      <x:c r="I12" s="54" t="n">
        <x:f>H12+I10</x:f>
        <x:v>-1241519.645813665</x:v>
      </x:c>
      <x:c r="J12" s="54" t="n">
        <x:f>I12+J10</x:f>
        <x:v>-1475522.801042405</x:v>
      </x:c>
      <x:c r="K12" s="54" t="n">
        <x:f>J12+K10</x:f>
        <x:v>-1693469.717892295</x:v>
      </x:c>
      <x:c r="L12" s="54" t="n">
        <x:f>K12+L10</x:f>
        <x:v>-1881284.269964965</x:v>
      </x:c>
      <x:c r="M12" s="54" t="n">
        <x:f>L12+M10</x:f>
        <x:v>-2037800.859724305</x:v>
      </x:c>
      <x:c r="O12" s="16" t="str">
        <x:v>Break-even status</x:v>
      </x:c>
      <x:c r="P12" s="16" t="str">
        <x:f>'Точка безубыточности'!D13</x:f>
        <x:v>Нужно больше платящих</x:v>
      </x:c>
      <x:c r="Q12" s="16" t="str">
        <x:f>'Точка безубыточности'!G13</x:f>
        <x:v>Нужно больше платящих</x:v>
      </x:c>
      <x:c r="R12" s="16" t="str">
        <x:f>'Точка безубыточности'!M13</x:f>
        <x:v>Нужно больше платящих</x:v>
      </x:c>
    </x:row>
    <x:row r="13">
      <x:c r="A13" s="45" t="str">
        <x:v>Active Users</x:v>
      </x:c>
      <x:c r="B13" s="62" t="n">
        <x:f>'Пользовательская воронка'!B13</x:f>
        <x:v>118</x:v>
      </x:c>
      <x:c r="C13" s="62" t="n">
        <x:f>'Пользовательская воронка'!C13</x:f>
        <x:v>331</x:v>
      </x:c>
      <x:c r="D13" s="62" t="n">
        <x:f>'Пользовательская воронка'!D13</x:f>
        <x:v>765</x:v>
      </x:c>
      <x:c r="E13" s="62" t="n">
        <x:f>'Пользовательская воронка'!E13</x:f>
        <x:v>1480</x:v>
      </x:c>
      <x:c r="F13" s="62" t="n">
        <x:f>'Пользовательская воронка'!F13</x:f>
        <x:v>2854</x:v>
      </x:c>
      <x:c r="G13" s="62" t="n">
        <x:f>'Пользовательская воронка'!G13</x:f>
        <x:v>5226</x:v>
      </x:c>
      <x:c r="H13" s="62" t="n">
        <x:f>'Пользовательская воронка'!H13</x:f>
        <x:v>8789</x:v>
      </x:c>
      <x:c r="I13" s="62" t="n">
        <x:f>'Пользовательская воронка'!I13</x:f>
        <x:v>14013</x:v>
      </x:c>
      <x:c r="J13" s="62" t="n">
        <x:f>'Пользовательская воронка'!J13</x:f>
        <x:v>20656</x:v>
      </x:c>
      <x:c r="K13" s="62" t="n">
        <x:f>'Пользовательская воронка'!K13</x:f>
        <x:v>29303</x:v>
      </x:c>
      <x:c r="L13" s="62" t="n">
        <x:f>'Пользовательская воронка'!L13</x:f>
        <x:v>38970</x:v>
      </x:c>
      <x:c r="M13" s="62" t="n">
        <x:f>'Пользовательская воронка'!M13</x:f>
        <x:v>49693</x:v>
      </x:c>
      <x:c r="O13" s="16" t="str">
        <x:v>Средний CAC</x:v>
      </x:c>
      <x:c r="P13" s="26" t="n">
        <x:f>AVERAGE('Unit-экономика'!C13:D13)</x:f>
        <x:v>5166.666666666667</x:v>
      </x:c>
      <x:c r="Q13" s="26" t="n">
        <x:f>AVERAGE('Unit-экономика'!D13:G13)</x:f>
        <x:v>2105.363753420248</x:v>
      </x:c>
      <x:c r="R13" s="26" t="n">
        <x:f>AVERAGE('Unit-экономика'!B13:M13)</x:f>
        <x:v>2041.3499925655417</x:v>
      </x:c>
    </x:row>
    <x:row r="14">
      <x:c r="A14" s="45" t="str">
        <x:v>Paying Clients</x:v>
      </x:c>
      <x:c r="B14" s="62" t="n">
        <x:f>'Конверсии по тарифам'!B25</x:f>
        <x:v>3</x:v>
      </x:c>
      <x:c r="C14" s="62" t="n">
        <x:f>'Конверсии по тарифам'!C25</x:f>
        <x:v>8</x:v>
      </x:c>
      <x:c r="D14" s="62" t="n">
        <x:f>'Конверсии по тарифам'!D25</x:f>
        <x:v>22</x:v>
      </x:c>
      <x:c r="E14" s="62" t="n">
        <x:f>'Конверсии по тарифам'!E25</x:f>
        <x:v>47</x:v>
      </x:c>
      <x:c r="F14" s="62" t="n">
        <x:f>'Конверсии по тарифам'!F25</x:f>
        <x:v>98</x:v>
      </x:c>
      <x:c r="G14" s="62" t="n">
        <x:f>'Конверсии по тарифам'!G25</x:f>
        <x:v>195</x:v>
      </x:c>
      <x:c r="H14" s="62" t="n">
        <x:f>'Конверсии по тарифам'!H25</x:f>
        <x:v>353</x:v>
      </x:c>
      <x:c r="I14" s="62" t="n">
        <x:f>'Конверсии по тарифам'!I25</x:f>
        <x:v>613</x:v>
      </x:c>
      <x:c r="J14" s="62" t="n">
        <x:f>'Конверсии по тарифам'!J25</x:f>
        <x:v>981</x:v>
      </x:c>
      <x:c r="K14" s="62" t="n">
        <x:f>'Конверсии по тарифам'!K25</x:f>
        <x:v>1510</x:v>
      </x:c>
      <x:c r="L14" s="62" t="n">
        <x:f>'Конверсии по тарифам'!L25</x:f>
        <x:v>2185</x:v>
      </x:c>
      <x:c r="M14" s="62" t="n">
        <x:f>'Конверсии по тарифам'!M25</x:f>
        <x:v>3013</x:v>
      </x:c>
      <x:c r="O14" s="16" t="str">
        <x:v>Средний LTV/CAC</x:v>
      </x:c>
      <x:c r="P14" s="39" t="n">
        <x:f>AVERAGE('Unit-экономика'!C16:D16)</x:f>
        <x:v>0.07366138940672727</x:v>
      </x:c>
      <x:c r="Q14" s="39" t="n">
        <x:f>AVERAGE('Unit-экономика'!D16:G16)</x:f>
        <x:v>0.342488012230063</x:v>
      </x:c>
      <x:c r="R14" s="39" t="n">
        <x:f>AVERAGE('Unit-экономика'!B16:M16)</x:f>
        <x:v>1.4690185828852211</x:v>
      </x:c>
    </x:row>
    <x:row r="15">
      <x:c r="A15" s="45" t="str">
        <x:v>MRR</x:v>
      </x:c>
      <x:c r="B15" s="54" t="n">
        <x:f>'MRR'!B9</x:f>
        <x:v>397.203534</x:v>
      </x:c>
      <x:c r="C15" s="54" t="n">
        <x:f>'MRR'!C9</x:f>
        <x:v>993.0088350000001</x:v>
      </x:c>
      <x:c r="D15" s="54" t="n">
        <x:f>'MRR'!D9</x:f>
        <x:v>2780.424738</x:v>
      </x:c>
      <x:c r="E15" s="54" t="n">
        <x:f>'MRR'!E9</x:f>
        <x:v>6255.955660500002</x:v>
      </x:c>
      <x:c r="F15" s="54" t="n">
        <x:f>'MRR'!F9</x:f>
        <x:v>13504.920156000002</x:v>
      </x:c>
      <x:c r="G15" s="54" t="n">
        <x:f>'MRR'!G9</x:f>
        <x:v>27208.442079000004</x:v>
      </x:c>
      <x:c r="H15" s="54" t="n">
        <x:f>'MRR'!H9</x:f>
        <x:v>49749.742633500005</x:v>
      </x:c>
      <x:c r="I15" s="54" t="n">
        <x:f>'MRR'!I9</x:f>
        <x:v>87086.8748295</x:v>
      </x:c>
      <x:c r="J15" s="54" t="n">
        <x:f>'MRR'!J9</x:f>
        <x:v>140808.652803</x:v>
      </x:c>
      <x:c r="K15" s="54" t="n">
        <x:f>'MRR'!K9</x:f>
        <x:v>219256.35076799997</x:v>
      </x:c>
      <x:c r="L15" s="54" t="n">
        <x:f>'MRR'!L9</x:f>
        <x:v>322132.06607400003</x:v>
      </x:c>
      <x:c r="M15" s="54" t="n">
        <x:f>'MRR'!M9</x:f>
        <x:v>450627.409323</x:v>
      </x:c>
      <x:c r="O15" s="16" t="str">
        <x:v>Вывод</x:v>
      </x:c>
      <x:c r="P15" s="16" t="str">
        <x:f>IF(P6&gt;0,"ранняя прибыль","проверить traction и конверсию")</x:f>
        <x:v>проверить traction и конверсию</x:v>
      </x:c>
      <x:c r="Q15" s="16" t="str">
        <x:f>IF(Q6&gt;0,"масштабировать продажи","доказать первые продажи")</x:f>
        <x:v>доказать первые продажи</x:v>
      </x:c>
      <x:c r="R15" s="16" t="str">
        <x:f>IF(R6&gt;0,"инвестиционно привлекателен","нужен грант/финансирование для разгона")</x:f>
        <x:v>нужен грант/финансирование для разгона</x:v>
      </x:c>
    </x:row>
    <x:row r="16">
      <x:c r="A16" s="45" t="str">
        <x:v>ARR run-rate</x:v>
      </x:c>
      <x:c r="B16" s="54" t="n">
        <x:f>'ARR'!B6</x:f>
        <x:v>4766.442408</x:v>
      </x:c>
      <x:c r="C16" s="54" t="n">
        <x:f>'ARR'!C6</x:f>
        <x:v>11916.106020000001</x:v>
      </x:c>
      <x:c r="D16" s="54" t="n">
        <x:f>'ARR'!D6</x:f>
        <x:v>33365.096856000004</x:v>
      </x:c>
      <x:c r="E16" s="54" t="n">
        <x:f>'ARR'!E6</x:f>
        <x:v>75071.46792600001</x:v>
      </x:c>
      <x:c r="F16" s="54" t="n">
        <x:f>'ARR'!F6</x:f>
        <x:v>162059.04187200003</x:v>
      </x:c>
      <x:c r="G16" s="54" t="n">
        <x:f>'ARR'!G6</x:f>
        <x:v>326501.30494800006</x:v>
      </x:c>
      <x:c r="H16" s="54" t="n">
        <x:f>'ARR'!H6</x:f>
        <x:v>596996.911602</x:v>
      </x:c>
      <x:c r="I16" s="54" t="n">
        <x:f>'ARR'!I6</x:f>
        <x:v>1045042.497954</x:v>
      </x:c>
      <x:c r="J16" s="54" t="n">
        <x:f>'ARR'!J6</x:f>
        <x:v>1689703.833636</x:v>
      </x:c>
      <x:c r="K16" s="54" t="n">
        <x:f>'ARR'!K6</x:f>
        <x:v>2631076.2092159996</x:v>
      </x:c>
      <x:c r="L16" s="54" t="n">
        <x:f>'ARR'!L6</x:f>
        <x:v>3865584.7928880006</x:v>
      </x:c>
      <x:c r="M16" s="54" t="n">
        <x:f>'ARR'!M6</x:f>
        <x:v>5407528.911876</x:v>
      </x:c>
    </x:row>
    <x:row r="17">
      <x:c r="A17" s="42"/>
      <x:c r="B17" s="42"/>
      <x:c r="C17" s="42"/>
      <x:c r="D17" s="42"/>
      <x:c r="E17" s="42"/>
      <x:c r="F17" s="42"/>
      <x:c r="G17" s="42"/>
      <x:c r="H17" s="42"/>
      <x:c r="I17" s="42"/>
      <x:c r="J17" s="42"/>
      <x:c r="K17" s="42"/>
      <x:c r="L17" s="42"/>
      <x:c r="M17" s="42"/>
    </x:row>
    <x:row r="18">
      <x:c r="A18" s="42"/>
      <x:c r="B18" s="42"/>
      <x:c r="C18" s="42"/>
      <x:c r="D18" s="42"/>
      <x:c r="E18" s="42"/>
      <x:c r="F18" s="42"/>
      <x:c r="G18" s="42"/>
      <x:c r="H18" s="42"/>
      <x:c r="I18" s="42"/>
      <x:c r="J18" s="42"/>
      <x:c r="K18" s="42"/>
      <x:c r="L18" s="42"/>
      <x:c r="M18" s="42"/>
      <x:c r="O18" s="13" t="str">
        <x:v>График</x:v>
      </x:c>
      <x:c r="P18" s="13" t="str">
        <x:v>Revenue</x:v>
      </x:c>
      <x:c r="Q18" s="13" t="str">
        <x:v>EBITDA</x:v>
      </x:c>
      <x:c r="R18" s="13" t="str">
        <x:v>Net Profit</x:v>
      </x:c>
    </x:row>
    <x:row r="19">
      <x:c r="A19" s="42"/>
      <x:c r="B19" s="42"/>
      <x:c r="C19" s="42"/>
      <x:c r="D19" s="42"/>
      <x:c r="E19" s="42"/>
      <x:c r="F19" s="42"/>
      <x:c r="G19" s="42"/>
      <x:c r="H19" s="42"/>
      <x:c r="I19" s="42"/>
      <x:c r="J19" s="42"/>
      <x:c r="K19" s="42"/>
      <x:c r="L19" s="42"/>
      <x:c r="M19" s="42"/>
      <x:c r="O19" s="16" t="str">
        <x:f>B$4</x:f>
        <x:v>М1</x:v>
      </x:c>
      <x:c r="P19" s="26" t="n">
        <x:f>B$5</x:f>
        <x:v>397.203534</x:v>
      </x:c>
      <x:c r="Q19" s="26" t="n">
        <x:f>B$8</x:f>
        <x:v>-68741.77523839001</x:v>
      </x:c>
      <x:c r="R19" s="26" t="n">
        <x:f>B$10</x:f>
        <x:v>-68789.43966246999</x:v>
      </x:c>
    </x:row>
    <x:row r="20">
      <x:c r="A20" s="42"/>
      <x:c r="B20" s="42"/>
      <x:c r="C20" s="42"/>
      <x:c r="D20" s="42"/>
      <x:c r="E20" s="42"/>
      <x:c r="F20" s="42"/>
      <x:c r="G20" s="42"/>
      <x:c r="H20" s="42"/>
      <x:c r="I20" s="42"/>
      <x:c r="J20" s="42"/>
      <x:c r="K20" s="42"/>
      <x:c r="L20" s="42"/>
      <x:c r="M20" s="42"/>
      <x:c r="O20" s="16" t="str">
        <x:f>C$4</x:f>
        <x:v>М2</x:v>
      </x:c>
      <x:c r="P20" s="26" t="n">
        <x:f>C$5</x:f>
        <x:v>993.0088350000001</x:v>
      </x:c>
      <x:c r="Q20" s="26" t="n">
        <x:f>C$8</x:f>
        <x:v>-90604.8920438</x:v>
      </x:c>
      <x:c r="R20" s="26" t="n">
        <x:f>C$10</x:f>
        <x:v>-90724.05310399999</x:v>
      </x:c>
    </x:row>
    <x:row r="21">
      <x:c r="A21" s="42"/>
      <x:c r="B21" s="42"/>
      <x:c r="C21" s="42"/>
      <x:c r="D21" s="42"/>
      <x:c r="E21" s="42"/>
      <x:c r="F21" s="42"/>
      <x:c r="G21" s="42"/>
      <x:c r="H21" s="42"/>
      <x:c r="I21" s="42"/>
      <x:c r="J21" s="42"/>
      <x:c r="K21" s="42"/>
      <x:c r="L21" s="42"/>
      <x:c r="M21" s="42"/>
      <x:c r="O21" s="16" t="str">
        <x:f>D$4</x:f>
        <x:v>М3</x:v>
      </x:c>
      <x:c r="P21" s="26" t="n">
        <x:f>D$5</x:f>
        <x:v>2780.424738</x:v>
      </x:c>
      <x:c r="Q21" s="26" t="n">
        <x:f>D$8</x:f>
        <x:v>-112782.71570993001</x:v>
      </x:c>
      <x:c r="R21" s="26" t="n">
        <x:f>D$10</x:f>
        <x:v>-113116.36667849</x:v>
      </x:c>
    </x:row>
    <x:row r="22">
      <x:c r="A22" s="42"/>
      <x:c r="B22" s="42"/>
      <x:c r="C22" s="42"/>
      <x:c r="D22" s="42"/>
      <x:c r="E22" s="42"/>
      <x:c r="F22" s="42"/>
      <x:c r="G22" s="42"/>
      <x:c r="H22" s="42"/>
      <x:c r="I22" s="42"/>
      <x:c r="J22" s="42"/>
      <x:c r="K22" s="42"/>
      <x:c r="L22" s="42"/>
      <x:c r="M22" s="42"/>
      <x:c r="O22" s="16" t="str">
        <x:f>E$4</x:f>
        <x:v>М4</x:v>
      </x:c>
      <x:c r="P22" s="26" t="n">
        <x:f>E$5</x:f>
        <x:v>6255.955660500002</x:v>
      </x:c>
      <x:c r="Q22" s="26" t="n">
        <x:f>E$8</x:f>
        <x:v>-144493.776705155</x:v>
      </x:c>
      <x:c r="R22" s="26" t="n">
        <x:f>E$10</x:f>
        <x:v>-145244.49138441499</x:v>
      </x:c>
    </x:row>
    <x:row r="23">
      <x:c r="A23" s="42"/>
      <x:c r="B23" s="42"/>
      <x:c r="C23" s="42"/>
      <x:c r="D23" s="42"/>
      <x:c r="E23" s="42"/>
      <x:c r="F23" s="42"/>
      <x:c r="G23" s="42"/>
      <x:c r="H23" s="42"/>
      <x:c r="I23" s="42"/>
      <x:c r="J23" s="42"/>
      <x:c r="K23" s="42"/>
      <x:c r="L23" s="42"/>
      <x:c r="M23" s="42"/>
      <x:c r="O23" s="16" t="str">
        <x:f>F$4</x:f>
        <x:v>М5</x:v>
      </x:c>
      <x:c r="P23" s="26" t="n">
        <x:f>F$5</x:f>
        <x:v>13504.920156000002</x:v>
      </x:c>
      <x:c r="Q23" s="26" t="n">
        <x:f>F$8</x:f>
        <x:v>-170267.57098741</x:v>
      </x:c>
      <x:c r="R23" s="26" t="n">
        <x:f>F$10</x:f>
        <x:v>-171888.16140612998</x:v>
      </x:c>
    </x:row>
    <x:row r="24">
      <x:c r="A24" s="42"/>
      <x:c r="B24" s="42"/>
      <x:c r="C24" s="42"/>
      <x:c r="D24" s="42"/>
      <x:c r="E24" s="42"/>
      <x:c r="F24" s="42"/>
      <x:c r="G24" s="42"/>
      <x:c r="H24" s="42"/>
      <x:c r="I24" s="42"/>
      <x:c r="J24" s="42"/>
      <x:c r="K24" s="42"/>
      <x:c r="L24" s="42"/>
      <x:c r="M24" s="42"/>
      <x:c r="O24" s="16" t="str">
        <x:f>G$4</x:f>
        <x:v>М6</x:v>
      </x:c>
      <x:c r="P24" s="26" t="n">
        <x:f>G$5</x:f>
        <x:v>27208.442079000004</x:v>
      </x:c>
      <x:c r="Q24" s="26" t="n">
        <x:f>G$8</x:f>
        <x:v>-196244.31248099002</x:v>
      </x:c>
      <x:c r="R24" s="26" t="n">
        <x:f>G$10</x:f>
        <x:v>-199509.32553046997</x:v>
      </x:c>
    </x:row>
    <x:row r="25">
      <x:c r="A25" s="42"/>
      <x:c r="B25" s="42"/>
      <x:c r="C25" s="42"/>
      <x:c r="D25" s="42"/>
      <x:c r="E25" s="42"/>
      <x:c r="F25" s="42"/>
      <x:c r="G25" s="42"/>
      <x:c r="H25" s="42"/>
      <x:c r="I25" s="42"/>
      <x:c r="J25" s="42"/>
      <x:c r="K25" s="42"/>
      <x:c r="L25" s="42"/>
      <x:c r="M25" s="42"/>
      <x:c r="O25" s="16" t="str">
        <x:f>H$4</x:f>
        <x:v>М7</x:v>
      </x:c>
      <x:c r="P25" s="26" t="n">
        <x:f>H$5</x:f>
        <x:v>49749.742633500005</x:v>
      </x:c>
      <x:c r="Q25" s="26" t="n">
        <x:f>H$8</x:f>
        <x:v>-213513.37154768498</x:v>
      </x:c>
      <x:c r="R25" s="26" t="n">
        <x:f>H$10</x:f>
        <x:v>-219483.34066370502</x:v>
      </x:c>
    </x:row>
    <x:row r="26">
      <x:c r="A26" s="42"/>
      <x:c r="B26" s="42"/>
      <x:c r="C26" s="42"/>
      <x:c r="D26" s="42"/>
      <x:c r="E26" s="42"/>
      <x:c r="F26" s="42"/>
      <x:c r="G26" s="42"/>
      <x:c r="H26" s="42"/>
      <x:c r="I26" s="42"/>
      <x:c r="J26" s="42"/>
      <x:c r="K26" s="42"/>
      <x:c r="L26" s="42"/>
      <x:c r="M26" s="42"/>
      <x:c r="O26" s="16" t="str">
        <x:f>I$4</x:f>
        <x:v>М8</x:v>
      </x:c>
      <x:c r="P26" s="26" t="n">
        <x:f>I$5</x:f>
        <x:v>87086.8748295</x:v>
      </x:c>
      <x:c r="Q26" s="26" t="n">
        <x:f>I$8</x:f>
        <x:v>-222314.04240444503</x:v>
      </x:c>
      <x:c r="R26" s="26" t="n">
        <x:f>I$10</x:f>
        <x:v>-232764.46738398506</x:v>
      </x:c>
    </x:row>
    <x:row r="27">
      <x:c r="A27" s="42"/>
      <x:c r="B27" s="42"/>
      <x:c r="C27" s="42"/>
      <x:c r="D27" s="42"/>
      <x:c r="E27" s="42"/>
      <x:c r="F27" s="42"/>
      <x:c r="G27" s="42"/>
      <x:c r="H27" s="42"/>
      <x:c r="I27" s="42"/>
      <x:c r="J27" s="42"/>
      <x:c r="K27" s="42"/>
      <x:c r="L27" s="42"/>
      <x:c r="M27" s="42"/>
      <x:c r="O27" s="16" t="str">
        <x:f>J$4</x:f>
        <x:v>М9</x:v>
      </x:c>
      <x:c r="P27" s="26" t="n">
        <x:f>J$5</x:f>
        <x:v>140808.652803</x:v>
      </x:c>
      <x:c r="Q27" s="26" t="n">
        <x:f>J$8</x:f>
        <x:v>-217106.11689238</x:v>
      </x:c>
      <x:c r="R27" s="26" t="n">
        <x:f>J$10</x:f>
        <x:v>-234003.15522873995</x:v>
      </x:c>
    </x:row>
    <x:row r="28">
      <x:c r="A28" s="42"/>
      <x:c r="B28" s="42"/>
      <x:c r="C28" s="42"/>
      <x:c r="D28" s="42"/>
      <x:c r="E28" s="42"/>
      <x:c r="F28" s="42"/>
      <x:c r="G28" s="42"/>
      <x:c r="H28" s="42"/>
      <x:c r="I28" s="42"/>
      <x:c r="J28" s="42"/>
      <x:c r="K28" s="42"/>
      <x:c r="L28" s="42"/>
      <x:c r="M28" s="42"/>
      <x:c r="O28" s="16" t="str">
        <x:f>K$4</x:f>
        <x:v>М10</x:v>
      </x:c>
      <x:c r="P28" s="26" t="n">
        <x:f>K$5</x:f>
        <x:v>219256.35076799997</x:v>
      </x:c>
      <x:c r="Q28" s="26" t="n">
        <x:f>K$8</x:f>
        <x:v>-191636.15475773005</x:v>
      </x:c>
      <x:c r="R28" s="26" t="n">
        <x:f>K$10</x:f>
        <x:v>-217946.91684989</x:v>
      </x:c>
    </x:row>
    <x:row r="29">
      <x:c r="A29" s="42"/>
      <x:c r="B29" s="42"/>
      <x:c r="C29" s="42"/>
      <x:c r="D29" s="42"/>
      <x:c r="E29" s="42"/>
      <x:c r="F29" s="42"/>
      <x:c r="G29" s="42"/>
      <x:c r="H29" s="42"/>
      <x:c r="I29" s="42"/>
      <x:c r="J29" s="42"/>
      <x:c r="K29" s="42"/>
      <x:c r="L29" s="42"/>
      <x:c r="M29" s="42"/>
      <x:c r="O29" s="16" t="str">
        <x:f>L$4</x:f>
        <x:v>М11</x:v>
      </x:c>
      <x:c r="P29" s="26" t="n">
        <x:f>L$5</x:f>
        <x:v>322132.06607400003</x:v>
      </x:c>
      <x:c r="Q29" s="26" t="n">
        <x:f>L$8</x:f>
        <x:v>-149158.70414378998</x:v>
      </x:c>
      <x:c r="R29" s="26" t="n">
        <x:f>L$10</x:f>
        <x:v>-187814.55207266996</x:v>
      </x:c>
    </x:row>
    <x:row r="30">
      <x:c r="A30" s="42"/>
      <x:c r="B30" s="42"/>
      <x:c r="C30" s="42"/>
      <x:c r="D30" s="42"/>
      <x:c r="E30" s="42"/>
      <x:c r="F30" s="42"/>
      <x:c r="G30" s="42"/>
      <x:c r="H30" s="42"/>
      <x:c r="I30" s="42"/>
      <x:c r="J30" s="42"/>
      <x:c r="K30" s="42"/>
      <x:c r="L30" s="42"/>
      <x:c r="M30" s="42"/>
      <x:c r="O30" s="16" t="str">
        <x:f>M$4</x:f>
        <x:v>М12</x:v>
      </x:c>
      <x:c r="P30" s="26" t="n">
        <x:f>M$5</x:f>
        <x:v>450627.409323</x:v>
      </x:c>
      <x:c r="Q30" s="26" t="n">
        <x:f>M$8</x:f>
        <x:v>-102441.30064058003</x:v>
      </x:c>
      <x:c r="R30" s="26" t="n">
        <x:f>M$10</x:f>
        <x:v>-156516.58975934004</x:v>
      </x:c>
    </x:row>
    <x:row r="31">
      <x:c r="A31" s="42"/>
      <x:c r="B31" s="42"/>
      <x:c r="C31" s="42"/>
      <x:c r="D31" s="42"/>
      <x:c r="E31" s="42"/>
      <x:c r="F31" s="42"/>
      <x:c r="G31" s="42"/>
      <x:c r="H31" s="42"/>
      <x:c r="I31" s="42"/>
      <x:c r="J31" s="42"/>
      <x:c r="K31" s="42"/>
      <x:c r="L31" s="42"/>
      <x:c r="M31" s="42"/>
    </x:row>
    <x:row r="32">
      <x:c r="A32" s="42"/>
      <x:c r="B32" s="42"/>
      <x:c r="C32" s="42"/>
      <x:c r="D32" s="42"/>
      <x:c r="E32" s="42"/>
      <x:c r="F32" s="42"/>
      <x:c r="G32" s="42"/>
      <x:c r="H32" s="42"/>
      <x:c r="I32" s="42"/>
      <x:c r="J32" s="42"/>
      <x:c r="K32" s="42"/>
      <x:c r="L32" s="42"/>
      <x:c r="M32" s="42"/>
    </x:row>
    <x:row r="33">
      <x:c r="A33" s="42"/>
      <x:c r="B33" s="42"/>
      <x:c r="C33" s="42"/>
      <x:c r="D33" s="42"/>
      <x:c r="E33" s="42"/>
      <x:c r="F33" s="42"/>
      <x:c r="G33" s="42"/>
      <x:c r="H33" s="42"/>
      <x:c r="I33" s="42"/>
      <x:c r="J33" s="42"/>
      <x:c r="K33" s="42"/>
      <x:c r="L33" s="42"/>
      <x:c r="M33" s="42"/>
    </x:row>
    <x:row r="34">
      <x:c r="A34" s="42"/>
      <x:c r="B34" s="42"/>
      <x:c r="C34" s="42"/>
      <x:c r="D34" s="42"/>
      <x:c r="E34" s="42"/>
      <x:c r="F34" s="42"/>
      <x:c r="G34" s="42"/>
      <x:c r="H34" s="42"/>
      <x:c r="I34" s="42"/>
      <x:c r="J34" s="42"/>
      <x:c r="K34" s="42"/>
      <x:c r="L34" s="42"/>
      <x:c r="M34" s="42"/>
    </x:row>
    <x:row r="35">
      <x:c r="A35" s="42"/>
      <x:c r="B35" s="42"/>
      <x:c r="C35" s="42"/>
      <x:c r="D35" s="42"/>
      <x:c r="E35" s="42"/>
      <x:c r="F35" s="42"/>
      <x:c r="G35" s="42"/>
      <x:c r="H35" s="42"/>
      <x:c r="I35" s="42"/>
      <x:c r="J35" s="42"/>
      <x:c r="K35" s="42"/>
      <x:c r="L35" s="42"/>
      <x:c r="M35" s="42"/>
    </x:row>
    <x:row r="36">
      <x:c r="A36" s="42"/>
      <x:c r="B36" s="42"/>
      <x:c r="C36" s="42"/>
      <x:c r="D36" s="42"/>
      <x:c r="E36" s="42"/>
      <x:c r="F36" s="42"/>
      <x:c r="G36" s="42"/>
      <x:c r="H36" s="42"/>
      <x:c r="I36" s="42"/>
      <x:c r="J36" s="42"/>
      <x:c r="K36" s="42"/>
      <x:c r="L36" s="42"/>
      <x:c r="M36" s="42"/>
    </x:row>
    <x:row r="37">
      <x:c r="A37" s="42"/>
      <x:c r="B37" s="42"/>
      <x:c r="C37" s="42"/>
      <x:c r="D37" s="42"/>
      <x:c r="E37" s="42"/>
      <x:c r="F37" s="42"/>
      <x:c r="G37" s="42"/>
      <x:c r="H37" s="42"/>
      <x:c r="I37" s="42"/>
      <x:c r="J37" s="42"/>
      <x:c r="K37" s="42"/>
      <x:c r="L37" s="42"/>
      <x:c r="M37" s="42"/>
    </x:row>
    <x:row r="38">
      <x:c r="A38" s="42"/>
      <x:c r="B38" s="42"/>
      <x:c r="C38" s="42"/>
      <x:c r="D38" s="42"/>
      <x:c r="E38" s="42"/>
      <x:c r="F38" s="42"/>
      <x:c r="G38" s="42"/>
      <x:c r="H38" s="42"/>
      <x:c r="I38" s="42"/>
      <x:c r="J38" s="42"/>
      <x:c r="K38" s="42"/>
      <x:c r="L38" s="42"/>
      <x:c r="M38" s="42"/>
    </x:row>
    <x:row r="39">
      <x:c r="A39" s="42"/>
      <x:c r="B39" s="42"/>
      <x:c r="C39" s="42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</x:row>
    <x:row r="40">
      <x:c r="A40" s="42"/>
      <x:c r="B40" s="42"/>
      <x:c r="C40" s="42"/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</x:row>
    <x:row r="41">
      <x:c r="A41" s="42"/>
      <x:c r="B41" s="42"/>
      <x:c r="C41" s="42"/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</x:row>
    <x:row r="42">
      <x:c r="A42" s="42"/>
      <x:c r="B42" s="42"/>
      <x:c r="C42" s="42"/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</x:row>
    <x:row r="43">
      <x:c r="A43" s="42"/>
      <x:c r="B43" s="42"/>
      <x:c r="C43" s="42"/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</x:row>
    <x:row r="44">
      <x:c r="A44" s="42"/>
      <x:c r="B44" s="42"/>
      <x:c r="C44" s="42"/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</x:row>
    <x:row r="45">
      <x:c r="A45" s="42"/>
      <x:c r="B45" s="42"/>
      <x:c r="C45" s="42"/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</x:row>
    <x:row r="46">
      <x:c r="A46" s="42"/>
      <x:c r="B46" s="42"/>
      <x:c r="C46" s="42"/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</x:row>
    <x:row r="47">
      <x:c r="A47" s="42"/>
      <x:c r="B47" s="42"/>
      <x:c r="C47" s="42"/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</x:row>
    <x:row r="48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</x:row>
    <x:row r="49">
      <x:c r="A49" s="42"/>
      <x:c r="B49" s="42"/>
      <x:c r="C49" s="42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</x:row>
    <x:row r="50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</x:row>
    <x:row r="51">
      <x:c r="A51" s="42"/>
      <x:c r="B51" s="42"/>
      <x:c r="C51" s="42"/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</x:row>
    <x:row r="52">
      <x:c r="A52" s="42"/>
      <x:c r="B52" s="42"/>
      <x:c r="C52" s="42"/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</x:row>
    <x:row r="53">
      <x:c r="A53" s="42"/>
      <x:c r="B53" s="42"/>
      <x:c r="C53" s="42"/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</x:row>
    <x:row r="54">
      <x:c r="A54" s="42"/>
      <x:c r="B54" s="42"/>
      <x:c r="C54" s="42"/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</x:row>
    <x:row r="55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</x:row>
    <x:row r="56">
      <x:c r="A56" s="42"/>
      <x:c r="B56" s="42"/>
      <x:c r="C56" s="42"/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</x:row>
    <x:row r="57">
      <x:c r="A57" s="42"/>
      <x:c r="B57" s="42"/>
      <x:c r="C57" s="42"/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</x:row>
    <x:row r="58">
      <x:c r="A58" s="42"/>
      <x:c r="B58" s="42"/>
      <x:c r="C58" s="42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</x:row>
    <x:row r="59">
      <x:c r="A59" s="42"/>
      <x:c r="B59" s="42"/>
      <x:c r="C59" s="42"/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</x:row>
    <x:row r="60">
      <x:c r="A60" s="42"/>
      <x:c r="B60" s="42"/>
      <x:c r="C60" s="42"/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</x:row>
    <x:row r="61">
      <x:c r="A61" s="42"/>
      <x:c r="B61" s="42"/>
      <x:c r="C61" s="42"/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</x:row>
    <x:row r="62">
      <x:c r="A62" s="42"/>
      <x:c r="B62" s="42"/>
      <x:c r="C62" s="42"/>
      <x:c r="D62" s="42"/>
      <x:c r="E62" s="42"/>
      <x:c r="F62" s="42"/>
      <x:c r="G62" s="42"/>
      <x:c r="H62" s="42"/>
      <x:c r="I62" s="42"/>
      <x:c r="J62" s="42"/>
      <x:c r="K62" s="42"/>
      <x:c r="L62" s="42"/>
      <x:c r="M62" s="42"/>
    </x:row>
    <x:row r="63">
      <x:c r="A63" s="42"/>
      <x:c r="B63" s="42"/>
      <x:c r="C63" s="42"/>
      <x:c r="D63" s="42"/>
      <x:c r="E63" s="42"/>
      <x:c r="F63" s="42"/>
      <x:c r="G63" s="42"/>
      <x:c r="H63" s="42"/>
      <x:c r="I63" s="42"/>
      <x:c r="J63" s="42"/>
      <x:c r="K63" s="42"/>
      <x:c r="L63" s="42"/>
      <x:c r="M63" s="42"/>
    </x:row>
    <x:row r="64">
      <x:c r="A64" s="42"/>
      <x:c r="B64" s="42"/>
      <x:c r="C64" s="42"/>
      <x:c r="D64" s="42"/>
      <x:c r="E64" s="42"/>
      <x:c r="F64" s="42"/>
      <x:c r="G64" s="42"/>
      <x:c r="H64" s="42"/>
      <x:c r="I64" s="42"/>
      <x:c r="J64" s="42"/>
      <x:c r="K64" s="42"/>
      <x:c r="L64" s="42"/>
      <x:c r="M64" s="42"/>
    </x:row>
    <x:row r="65">
      <x:c r="A65" s="42"/>
      <x:c r="B65" s="42"/>
      <x:c r="C65" s="42"/>
      <x:c r="D65" s="42"/>
      <x:c r="E65" s="42"/>
      <x:c r="F65" s="42"/>
      <x:c r="G65" s="42"/>
      <x:c r="H65" s="42"/>
      <x:c r="I65" s="42"/>
      <x:c r="J65" s="42"/>
      <x:c r="K65" s="42"/>
      <x:c r="L65" s="42"/>
      <x:c r="M65" s="42"/>
    </x:row>
    <x:row r="66">
      <x:c r="A66" s="42"/>
      <x:c r="B66" s="42"/>
      <x:c r="C66" s="42"/>
      <x:c r="D66" s="42"/>
      <x:c r="E66" s="42"/>
      <x:c r="F66" s="42"/>
      <x:c r="G66" s="42"/>
      <x:c r="H66" s="42"/>
      <x:c r="I66" s="42"/>
      <x:c r="J66" s="42"/>
      <x:c r="K66" s="42"/>
      <x:c r="L66" s="42"/>
      <x:c r="M66" s="42"/>
    </x:row>
    <x:row r="67">
      <x:c r="A67" s="42"/>
      <x:c r="B67" s="42"/>
      <x:c r="C67" s="42"/>
      <x:c r="D67" s="42"/>
      <x:c r="E67" s="42"/>
      <x:c r="F67" s="42"/>
      <x:c r="G67" s="42"/>
      <x:c r="H67" s="42"/>
      <x:c r="I67" s="42"/>
      <x:c r="J67" s="42"/>
      <x:c r="K67" s="42"/>
      <x:c r="L67" s="42"/>
      <x:c r="M67" s="42"/>
    </x:row>
    <x:row r="68">
      <x:c r="A68" s="42"/>
      <x:c r="B68" s="42"/>
      <x:c r="C68" s="42"/>
      <x:c r="D68" s="42"/>
      <x:c r="E68" s="42"/>
      <x:c r="F68" s="42"/>
      <x:c r="G68" s="42"/>
      <x:c r="H68" s="42"/>
      <x:c r="I68" s="42"/>
      <x:c r="J68" s="42"/>
      <x:c r="K68" s="42"/>
      <x:c r="L68" s="42"/>
      <x:c r="M68" s="42"/>
    </x:row>
    <x:row r="69">
      <x:c r="A69" s="42"/>
      <x:c r="B69" s="42"/>
      <x:c r="C69" s="42"/>
      <x:c r="D69" s="42"/>
      <x:c r="E69" s="42"/>
      <x:c r="F69" s="42"/>
      <x:c r="G69" s="42"/>
      <x:c r="H69" s="42"/>
      <x:c r="I69" s="42"/>
      <x:c r="J69" s="42"/>
      <x:c r="K69" s="42"/>
      <x:c r="L69" s="42"/>
      <x:c r="M69" s="42"/>
    </x:row>
    <x:row r="70">
      <x:c r="A70" s="42"/>
      <x:c r="B70" s="42"/>
      <x:c r="C70" s="42"/>
      <x:c r="D70" s="42"/>
      <x:c r="E70" s="42"/>
      <x:c r="F70" s="42"/>
      <x:c r="G70" s="42"/>
      <x:c r="H70" s="42"/>
      <x:c r="I70" s="42"/>
      <x:c r="J70" s="42"/>
      <x:c r="K70" s="42"/>
      <x:c r="L70" s="42"/>
      <x:c r="M70" s="42"/>
    </x:row>
    <x:row r="71">
      <x:c r="A71" s="42"/>
      <x:c r="B71" s="42"/>
      <x:c r="C71" s="42"/>
      <x:c r="D71" s="42"/>
      <x:c r="E71" s="42"/>
      <x:c r="F71" s="42"/>
      <x:c r="G71" s="42"/>
      <x:c r="H71" s="42"/>
      <x:c r="I71" s="42"/>
      <x:c r="J71" s="42"/>
      <x:c r="K71" s="42"/>
      <x:c r="L71" s="42"/>
      <x:c r="M71" s="42"/>
    </x:row>
    <x:row r="72">
      <x:c r="A72" s="42"/>
      <x:c r="B72" s="42"/>
      <x:c r="C72" s="42"/>
      <x:c r="D72" s="42"/>
      <x:c r="E72" s="42"/>
      <x:c r="F72" s="42"/>
      <x:c r="G72" s="42"/>
      <x:c r="H72" s="42"/>
      <x:c r="I72" s="42"/>
      <x:c r="J72" s="42"/>
      <x:c r="K72" s="42"/>
      <x:c r="L72" s="42"/>
      <x:c r="M72" s="42"/>
    </x:row>
    <x:row r="73">
      <x:c r="A73" s="42"/>
      <x:c r="B73" s="42"/>
      <x:c r="C73" s="42"/>
      <x:c r="D73" s="42"/>
      <x:c r="E73" s="42"/>
      <x:c r="F73" s="42"/>
      <x:c r="G73" s="42"/>
      <x:c r="H73" s="42"/>
      <x:c r="I73" s="42"/>
      <x:c r="J73" s="42"/>
      <x:c r="K73" s="42"/>
      <x:c r="L73" s="42"/>
      <x:c r="M73" s="42"/>
    </x:row>
    <x:row r="74">
      <x:c r="A74" s="42"/>
      <x:c r="B74" s="42"/>
      <x:c r="C74" s="42"/>
      <x:c r="D74" s="42"/>
      <x:c r="E74" s="42"/>
      <x:c r="F74" s="42"/>
      <x:c r="G74" s="42"/>
      <x:c r="H74" s="42"/>
      <x:c r="I74" s="42"/>
      <x:c r="J74" s="42"/>
      <x:c r="K74" s="42"/>
      <x:c r="L74" s="42"/>
      <x:c r="M74" s="42"/>
    </x:row>
    <x:row r="75">
      <x:c r="A75" s="42"/>
      <x:c r="B75" s="42"/>
      <x:c r="C75" s="42"/>
      <x:c r="D75" s="42"/>
      <x:c r="E75" s="42"/>
      <x:c r="F75" s="42"/>
      <x:c r="G75" s="42"/>
      <x:c r="H75" s="42"/>
      <x:c r="I75" s="42"/>
      <x:c r="J75" s="42"/>
      <x:c r="K75" s="42"/>
      <x:c r="L75" s="42"/>
      <x:c r="M75" s="42"/>
    </x:row>
    <x:row r="76">
      <x:c r="A76" s="42"/>
      <x:c r="B76" s="42"/>
      <x:c r="C76" s="42"/>
      <x:c r="D76" s="42"/>
      <x:c r="E76" s="42"/>
      <x:c r="F76" s="42"/>
      <x:c r="G76" s="42"/>
      <x:c r="H76" s="42"/>
      <x:c r="I76" s="42"/>
      <x:c r="J76" s="42"/>
      <x:c r="K76" s="42"/>
      <x:c r="L76" s="42"/>
      <x:c r="M76" s="42"/>
    </x:row>
    <x:row r="77">
      <x:c r="A77" s="42"/>
      <x:c r="B77" s="42"/>
      <x:c r="C77" s="42"/>
      <x:c r="D77" s="42"/>
      <x:c r="E77" s="42"/>
      <x:c r="F77" s="42"/>
      <x:c r="G77" s="42"/>
      <x:c r="H77" s="42"/>
      <x:c r="I77" s="42"/>
      <x:c r="J77" s="42"/>
      <x:c r="K77" s="42"/>
      <x:c r="L77" s="42"/>
      <x:c r="M77" s="42"/>
    </x:row>
    <x:row r="78">
      <x:c r="A78" s="42"/>
      <x:c r="B78" s="42"/>
      <x:c r="C78" s="42"/>
      <x:c r="D78" s="42"/>
      <x:c r="E78" s="42"/>
      <x:c r="F78" s="42"/>
      <x:c r="G78" s="42"/>
      <x:c r="H78" s="42"/>
      <x:c r="I78" s="42"/>
      <x:c r="J78" s="42"/>
      <x:c r="K78" s="42"/>
      <x:c r="L78" s="42"/>
      <x:c r="M78" s="42"/>
    </x:row>
    <x:row r="79">
      <x:c r="A79" s="42"/>
      <x:c r="B79" s="42"/>
      <x:c r="C79" s="42"/>
      <x:c r="D79" s="42"/>
      <x:c r="E79" s="42"/>
      <x:c r="F79" s="42"/>
      <x:c r="G79" s="42"/>
      <x:c r="H79" s="42"/>
      <x:c r="I79" s="42"/>
      <x:c r="J79" s="42"/>
      <x:c r="K79" s="42"/>
      <x:c r="L79" s="42"/>
      <x:c r="M79" s="42"/>
    </x:row>
    <x:row r="80">
      <x:c r="A80" s="42"/>
      <x:c r="B80" s="42"/>
      <x:c r="C80" s="42"/>
      <x:c r="D80" s="42"/>
      <x:c r="E80" s="42"/>
      <x:c r="F80" s="42"/>
      <x:c r="G80" s="42"/>
      <x:c r="H80" s="42"/>
      <x:c r="I80" s="42"/>
      <x:c r="J80" s="42"/>
      <x:c r="K80" s="42"/>
      <x:c r="L80" s="42"/>
      <x:c r="M80" s="42"/>
    </x:row>
    <x:row r="81">
      <x:c r="A81" s="42"/>
      <x:c r="B81" s="42"/>
      <x:c r="C81" s="42"/>
      <x:c r="D81" s="42"/>
      <x:c r="E81" s="42"/>
      <x:c r="F81" s="42"/>
      <x:c r="G81" s="42"/>
      <x:c r="H81" s="42"/>
      <x:c r="I81" s="42"/>
      <x:c r="J81" s="42"/>
      <x:c r="K81" s="42"/>
      <x:c r="L81" s="42"/>
      <x:c r="M81" s="42"/>
    </x:row>
    <x:row r="82">
      <x:c r="A82" s="42"/>
      <x:c r="B82" s="42"/>
      <x:c r="C82" s="42"/>
      <x:c r="D82" s="42"/>
      <x:c r="E82" s="42"/>
      <x:c r="F82" s="42"/>
      <x:c r="G82" s="42"/>
      <x:c r="H82" s="42"/>
      <x:c r="I82" s="42"/>
      <x:c r="J82" s="42"/>
      <x:c r="K82" s="42"/>
      <x:c r="L82" s="42"/>
      <x:c r="M82" s="42"/>
    </x:row>
    <x:row r="83">
      <x:c r="A83" s="42"/>
      <x:c r="B83" s="42"/>
      <x:c r="C83" s="42"/>
      <x:c r="D83" s="42"/>
      <x:c r="E83" s="42"/>
      <x:c r="F83" s="42"/>
      <x:c r="G83" s="42"/>
      <x:c r="H83" s="42"/>
      <x:c r="I83" s="42"/>
      <x:c r="J83" s="42"/>
      <x:c r="K83" s="42"/>
      <x:c r="L83" s="42"/>
      <x:c r="M83" s="42"/>
    </x:row>
    <x:row r="84">
      <x:c r="A84" s="42"/>
      <x:c r="B84" s="42"/>
      <x:c r="C84" s="42"/>
      <x:c r="D84" s="42"/>
      <x:c r="E84" s="42"/>
      <x:c r="F84" s="42"/>
      <x:c r="G84" s="42"/>
      <x:c r="H84" s="42"/>
      <x:c r="I84" s="42"/>
      <x:c r="J84" s="42"/>
      <x:c r="K84" s="42"/>
      <x:c r="L84" s="42"/>
      <x:c r="M84" s="42"/>
    </x:row>
    <x:row r="85">
      <x:c r="A85" s="42"/>
      <x:c r="B85" s="42"/>
      <x:c r="C85" s="42"/>
      <x:c r="D85" s="42"/>
      <x:c r="E85" s="42"/>
      <x:c r="F85" s="42"/>
      <x:c r="G85" s="42"/>
      <x:c r="H85" s="42"/>
      <x:c r="I85" s="42"/>
      <x:c r="J85" s="42"/>
      <x:c r="K85" s="42"/>
      <x:c r="L85" s="42"/>
      <x:c r="M85" s="42"/>
    </x:row>
    <x:row r="86">
      <x:c r="A86" s="42"/>
      <x:c r="B86" s="42"/>
      <x:c r="C86" s="42"/>
      <x:c r="D86" s="42"/>
      <x:c r="E86" s="42"/>
      <x:c r="F86" s="42"/>
      <x:c r="G86" s="42"/>
      <x:c r="H86" s="42"/>
      <x:c r="I86" s="42"/>
      <x:c r="J86" s="42"/>
      <x:c r="K86" s="42"/>
      <x:c r="L86" s="42"/>
      <x:c r="M86" s="42"/>
    </x:row>
    <x:row r="87">
      <x:c r="A87" s="42"/>
      <x:c r="B87" s="42"/>
      <x:c r="C87" s="42"/>
      <x:c r="D87" s="42"/>
      <x:c r="E87" s="42"/>
      <x:c r="F87" s="42"/>
      <x:c r="G87" s="42"/>
      <x:c r="H87" s="42"/>
      <x:c r="I87" s="42"/>
      <x:c r="J87" s="42"/>
      <x:c r="K87" s="42"/>
      <x:c r="L87" s="42"/>
      <x:c r="M87" s="42"/>
    </x:row>
    <x:row r="88">
      <x:c r="A88" s="42"/>
      <x:c r="B88" s="42"/>
      <x:c r="C88" s="42"/>
      <x:c r="D88" s="42"/>
      <x:c r="E88" s="42"/>
      <x:c r="F88" s="42"/>
      <x:c r="G88" s="42"/>
      <x:c r="H88" s="42"/>
      <x:c r="I88" s="42"/>
      <x:c r="J88" s="42"/>
      <x:c r="K88" s="42"/>
      <x:c r="L88" s="42"/>
      <x:c r="M88" s="42"/>
    </x:row>
    <x:row r="89">
      <x:c r="A89" s="42"/>
      <x:c r="B89" s="42"/>
      <x:c r="C89" s="42"/>
      <x:c r="D89" s="42"/>
      <x:c r="E89" s="42"/>
      <x:c r="F89" s="42"/>
      <x:c r="G89" s="42"/>
      <x:c r="H89" s="42"/>
      <x:c r="I89" s="42"/>
      <x:c r="J89" s="42"/>
      <x:c r="K89" s="42"/>
      <x:c r="L89" s="42"/>
      <x:c r="M89" s="42"/>
    </x:row>
    <x:row r="90">
      <x:c r="A90" s="42"/>
      <x:c r="B90" s="42"/>
      <x:c r="C90" s="42"/>
      <x:c r="D90" s="42"/>
      <x:c r="E90" s="42"/>
      <x:c r="F90" s="42"/>
      <x:c r="G90" s="42"/>
      <x:c r="H90" s="42"/>
      <x:c r="I90" s="42"/>
      <x:c r="J90" s="42"/>
      <x:c r="K90" s="42"/>
      <x:c r="L90" s="42"/>
      <x:c r="M90" s="42"/>
    </x:row>
    <x:row r="91">
      <x:c r="A91" s="42"/>
      <x:c r="B91" s="42"/>
      <x:c r="C91" s="42"/>
      <x:c r="D91" s="42"/>
      <x:c r="E91" s="42"/>
      <x:c r="F91" s="42"/>
      <x:c r="G91" s="42"/>
      <x:c r="H91" s="42"/>
      <x:c r="I91" s="42"/>
      <x:c r="J91" s="42"/>
      <x:c r="K91" s="42"/>
      <x:c r="L91" s="42"/>
      <x:c r="M91" s="42"/>
    </x:row>
    <x:row r="92">
      <x:c r="A92" s="42"/>
      <x:c r="B92" s="42"/>
      <x:c r="C92" s="42"/>
      <x:c r="D92" s="42"/>
      <x:c r="E92" s="42"/>
      <x:c r="F92" s="42"/>
      <x:c r="G92" s="42"/>
      <x:c r="H92" s="42"/>
      <x:c r="I92" s="42"/>
      <x:c r="J92" s="42"/>
      <x:c r="K92" s="42"/>
      <x:c r="L92" s="42"/>
      <x:c r="M92" s="42"/>
    </x:row>
    <x:row r="93">
      <x:c r="A93" s="42"/>
      <x:c r="B93" s="42"/>
      <x:c r="C93" s="42"/>
      <x:c r="D93" s="42"/>
      <x:c r="E93" s="42"/>
      <x:c r="F93" s="42"/>
      <x:c r="G93" s="42"/>
      <x:c r="H93" s="42"/>
      <x:c r="I93" s="42"/>
      <x:c r="J93" s="42"/>
      <x:c r="K93" s="42"/>
      <x:c r="L93" s="42"/>
      <x:c r="M93" s="42"/>
    </x:row>
    <x:row r="94">
      <x:c r="A94" s="42"/>
      <x:c r="B94" s="42"/>
      <x:c r="C94" s="42"/>
      <x:c r="D94" s="42"/>
      <x:c r="E94" s="42"/>
      <x:c r="F94" s="42"/>
      <x:c r="G94" s="42"/>
      <x:c r="H94" s="42"/>
      <x:c r="I94" s="42"/>
      <x:c r="J94" s="42"/>
      <x:c r="K94" s="42"/>
      <x:c r="L94" s="42"/>
      <x:c r="M94" s="42"/>
    </x:row>
    <x:row r="95">
      <x:c r="A95" s="42"/>
      <x:c r="B95" s="42"/>
      <x:c r="C95" s="42"/>
      <x:c r="D95" s="42"/>
      <x:c r="E95" s="42"/>
      <x:c r="F95" s="42"/>
      <x:c r="G95" s="42"/>
      <x:c r="H95" s="42"/>
      <x:c r="I95" s="42"/>
      <x:c r="J95" s="42"/>
      <x:c r="K95" s="42"/>
      <x:c r="L95" s="42"/>
      <x:c r="M95" s="42"/>
    </x:row>
    <x:row r="96">
      <x:c r="A96" s="42"/>
      <x:c r="B96" s="42"/>
      <x:c r="C96" s="42"/>
      <x:c r="D96" s="42"/>
      <x:c r="E96" s="42"/>
      <x:c r="F96" s="42"/>
      <x:c r="G96" s="42"/>
      <x:c r="H96" s="42"/>
      <x:c r="I96" s="42"/>
      <x:c r="J96" s="42"/>
      <x:c r="K96" s="42"/>
      <x:c r="L96" s="42"/>
      <x:c r="M96" s="42"/>
    </x:row>
    <x:row r="97">
      <x:c r="A97" s="42"/>
      <x:c r="B97" s="42"/>
      <x:c r="C97" s="42"/>
      <x:c r="D97" s="42"/>
      <x:c r="E97" s="42"/>
      <x:c r="F97" s="42"/>
      <x:c r="G97" s="42"/>
      <x:c r="H97" s="42"/>
      <x:c r="I97" s="42"/>
      <x:c r="J97" s="42"/>
      <x:c r="K97" s="42"/>
      <x:c r="L97" s="42"/>
      <x:c r="M97" s="42"/>
    </x:row>
    <x:row r="98">
      <x:c r="A98" s="42"/>
      <x:c r="B98" s="42"/>
      <x:c r="C98" s="42"/>
      <x:c r="D98" s="42"/>
      <x:c r="E98" s="42"/>
      <x:c r="F98" s="42"/>
      <x:c r="G98" s="42"/>
      <x:c r="H98" s="42"/>
      <x:c r="I98" s="42"/>
      <x:c r="J98" s="42"/>
      <x:c r="K98" s="42"/>
      <x:c r="L98" s="42"/>
      <x:c r="M98" s="42"/>
    </x:row>
    <x:row r="99">
      <x:c r="A99" s="42"/>
      <x:c r="B99" s="42"/>
      <x:c r="C99" s="42"/>
      <x:c r="D99" s="42"/>
      <x:c r="E99" s="42"/>
      <x:c r="F99" s="42"/>
      <x:c r="G99" s="42"/>
      <x:c r="H99" s="42"/>
      <x:c r="I99" s="42"/>
      <x:c r="J99" s="42"/>
      <x:c r="K99" s="42"/>
      <x:c r="L99" s="42"/>
      <x:c r="M99" s="42"/>
    </x:row>
    <x:row r="100">
      <x:c r="A100" s="42"/>
      <x:c r="B100" s="42"/>
      <x:c r="C100" s="42"/>
      <x:c r="D100" s="42"/>
      <x:c r="E100" s="42"/>
      <x:c r="F100" s="42"/>
      <x:c r="G100" s="42"/>
      <x:c r="H100" s="42"/>
      <x:c r="I100" s="42"/>
      <x:c r="J100" s="42"/>
      <x:c r="K100" s="42"/>
      <x:c r="L100" s="42"/>
      <x:c r="M100" s="42"/>
    </x:row>
    <x:row r="101">
      <x:c r="A101" s="42"/>
      <x:c r="B101" s="42"/>
      <x:c r="C101" s="42"/>
      <x:c r="D101" s="42"/>
      <x:c r="E101" s="42"/>
      <x:c r="F101" s="42"/>
      <x:c r="G101" s="42"/>
      <x:c r="H101" s="42"/>
      <x:c r="I101" s="42"/>
      <x:c r="J101" s="42"/>
      <x:c r="K101" s="42"/>
      <x:c r="L101" s="42"/>
      <x:c r="M101" s="42"/>
    </x:row>
    <x:row r="102">
      <x:c r="A102" s="42"/>
      <x:c r="B102" s="42"/>
      <x:c r="C102" s="42"/>
      <x:c r="D102" s="42"/>
      <x:c r="E102" s="42"/>
      <x:c r="F102" s="42"/>
      <x:c r="G102" s="42"/>
      <x:c r="H102" s="42"/>
      <x:c r="I102" s="42"/>
      <x:c r="J102" s="42"/>
      <x:c r="K102" s="42"/>
      <x:c r="L102" s="42"/>
      <x:c r="M102" s="42"/>
    </x:row>
    <x:row r="103">
      <x:c r="A103" s="42"/>
      <x:c r="B103" s="42"/>
      <x:c r="C103" s="42"/>
      <x:c r="D103" s="42"/>
      <x:c r="E103" s="42"/>
      <x:c r="F103" s="42"/>
      <x:c r="G103" s="42"/>
      <x:c r="H103" s="42"/>
      <x:c r="I103" s="42"/>
      <x:c r="J103" s="42"/>
      <x:c r="K103" s="42"/>
      <x:c r="L103" s="42"/>
      <x:c r="M103" s="42"/>
    </x:row>
    <x:row r="104">
      <x:c r="A104" s="42"/>
      <x:c r="B104" s="42"/>
      <x:c r="C104" s="42"/>
      <x:c r="D104" s="42"/>
      <x:c r="E104" s="42"/>
      <x:c r="F104" s="42"/>
      <x:c r="G104" s="42"/>
      <x:c r="H104" s="42"/>
      <x:c r="I104" s="42"/>
      <x:c r="J104" s="42"/>
      <x:c r="K104" s="42"/>
      <x:c r="L104" s="42"/>
      <x:c r="M104" s="42"/>
    </x:row>
    <x:row r="105">
      <x:c r="A105" s="42"/>
      <x:c r="B105" s="42"/>
      <x:c r="C105" s="42"/>
      <x:c r="D105" s="42"/>
      <x:c r="E105" s="42"/>
      <x:c r="F105" s="42"/>
      <x:c r="G105" s="42"/>
      <x:c r="H105" s="42"/>
      <x:c r="I105" s="42"/>
      <x:c r="J105" s="42"/>
      <x:c r="K105" s="42"/>
      <x:c r="L105" s="42"/>
      <x:c r="M105" s="42"/>
    </x:row>
    <x:row r="106">
      <x:c r="A106" s="42"/>
      <x:c r="B106" s="42"/>
      <x:c r="C106" s="42"/>
      <x:c r="D106" s="42"/>
      <x:c r="E106" s="42"/>
      <x:c r="F106" s="42"/>
      <x:c r="G106" s="42"/>
      <x:c r="H106" s="42"/>
      <x:c r="I106" s="42"/>
      <x:c r="J106" s="42"/>
      <x:c r="K106" s="42"/>
      <x:c r="L106" s="42"/>
      <x:c r="M106" s="42"/>
    </x:row>
    <x:row r="107">
      <x:c r="A107" s="42"/>
      <x:c r="B107" s="42"/>
      <x:c r="C107" s="42"/>
      <x:c r="D107" s="42"/>
      <x:c r="E107" s="42"/>
      <x:c r="F107" s="42"/>
      <x:c r="G107" s="42"/>
      <x:c r="H107" s="42"/>
      <x:c r="I107" s="42"/>
      <x:c r="J107" s="42"/>
      <x:c r="K107" s="42"/>
      <x:c r="L107" s="42"/>
      <x:c r="M107" s="42"/>
    </x:row>
    <x:row r="108">
      <x:c r="A108" s="42"/>
      <x:c r="B108" s="42"/>
      <x:c r="C108" s="42"/>
      <x:c r="D108" s="42"/>
      <x:c r="E108" s="42"/>
      <x:c r="F108" s="42"/>
      <x:c r="G108" s="42"/>
      <x:c r="H108" s="42"/>
      <x:c r="I108" s="42"/>
      <x:c r="J108" s="42"/>
      <x:c r="K108" s="42"/>
      <x:c r="L108" s="42"/>
      <x:c r="M108" s="42"/>
    </x:row>
    <x:row r="109">
      <x:c r="A109" s="42"/>
      <x:c r="B109" s="42"/>
      <x:c r="C109" s="42"/>
      <x:c r="D109" s="42"/>
      <x:c r="E109" s="42"/>
      <x:c r="F109" s="42"/>
      <x:c r="G109" s="42"/>
      <x:c r="H109" s="42"/>
      <x:c r="I109" s="42"/>
      <x:c r="J109" s="42"/>
      <x:c r="K109" s="42"/>
      <x:c r="L109" s="42"/>
      <x:c r="M109" s="42"/>
    </x:row>
    <x:row r="110">
      <x:c r="A110" s="42"/>
      <x:c r="B110" s="42"/>
      <x:c r="C110" s="42"/>
      <x:c r="D110" s="42"/>
      <x:c r="E110" s="42"/>
      <x:c r="F110" s="42"/>
      <x:c r="G110" s="42"/>
      <x:c r="H110" s="42"/>
      <x:c r="I110" s="42"/>
      <x:c r="J110" s="42"/>
      <x:c r="K110" s="42"/>
      <x:c r="L110" s="42"/>
      <x:c r="M110" s="42"/>
    </x:row>
    <x:row r="111">
      <x:c r="A111" s="42"/>
      <x:c r="B111" s="42"/>
      <x:c r="C111" s="42"/>
      <x:c r="D111" s="42"/>
      <x:c r="E111" s="42"/>
      <x:c r="F111" s="42"/>
      <x:c r="G111" s="42"/>
      <x:c r="H111" s="42"/>
      <x:c r="I111" s="42"/>
      <x:c r="J111" s="42"/>
      <x:c r="K111" s="42"/>
      <x:c r="L111" s="42"/>
      <x:c r="M111" s="42"/>
    </x:row>
    <x:row r="112">
      <x:c r="A112" s="42"/>
      <x:c r="B112" s="42"/>
      <x:c r="C112" s="42"/>
      <x:c r="D112" s="42"/>
      <x:c r="E112" s="42"/>
      <x:c r="F112" s="42"/>
      <x:c r="G112" s="42"/>
      <x:c r="H112" s="42"/>
      <x:c r="I112" s="42"/>
      <x:c r="J112" s="42"/>
      <x:c r="K112" s="42"/>
      <x:c r="L112" s="42"/>
      <x:c r="M112" s="42"/>
    </x:row>
    <x:row r="113">
      <x:c r="A113" s="42"/>
      <x:c r="B113" s="42"/>
      <x:c r="C113" s="42"/>
      <x:c r="D113" s="42"/>
      <x:c r="E113" s="42"/>
      <x:c r="F113" s="42"/>
      <x:c r="G113" s="42"/>
      <x:c r="H113" s="42"/>
      <x:c r="I113" s="42"/>
      <x:c r="J113" s="42"/>
      <x:c r="K113" s="42"/>
      <x:c r="L113" s="42"/>
      <x:c r="M113" s="42"/>
    </x:row>
    <x:row r="114">
      <x:c r="A114" s="42"/>
      <x:c r="B114" s="42"/>
      <x:c r="C114" s="42"/>
      <x:c r="D114" s="42"/>
      <x:c r="E114" s="42"/>
      <x:c r="F114" s="42"/>
      <x:c r="G114" s="42"/>
      <x:c r="H114" s="42"/>
      <x:c r="I114" s="42"/>
      <x:c r="J114" s="42"/>
      <x:c r="K114" s="42"/>
      <x:c r="L114" s="42"/>
      <x:c r="M114" s="42"/>
    </x:row>
    <x:row r="115">
      <x:c r="A115" s="42"/>
      <x:c r="B115" s="42"/>
      <x:c r="C115" s="42"/>
      <x:c r="D115" s="42"/>
      <x:c r="E115" s="42"/>
      <x:c r="F115" s="42"/>
      <x:c r="G115" s="42"/>
      <x:c r="H115" s="42"/>
      <x:c r="I115" s="42"/>
      <x:c r="J115" s="42"/>
      <x:c r="K115" s="42"/>
      <x:c r="L115" s="42"/>
      <x:c r="M115" s="42"/>
    </x:row>
    <x:row r="116">
      <x:c r="A116" s="42"/>
      <x:c r="B116" s="42"/>
      <x:c r="C116" s="42"/>
      <x:c r="D116" s="42"/>
      <x:c r="E116" s="42"/>
      <x:c r="F116" s="42"/>
      <x:c r="G116" s="42"/>
      <x:c r="H116" s="42"/>
      <x:c r="I116" s="42"/>
      <x:c r="J116" s="42"/>
      <x:c r="K116" s="42"/>
      <x:c r="L116" s="42"/>
      <x:c r="M116" s="42"/>
    </x:row>
    <x:row r="117">
      <x:c r="A117" s="42"/>
      <x:c r="B117" s="42"/>
      <x:c r="C117" s="42"/>
      <x:c r="D117" s="42"/>
      <x:c r="E117" s="42"/>
      <x:c r="F117" s="42"/>
      <x:c r="G117" s="42"/>
      <x:c r="H117" s="42"/>
      <x:c r="I117" s="42"/>
      <x:c r="J117" s="42"/>
      <x:c r="K117" s="42"/>
      <x:c r="L117" s="42"/>
      <x:c r="M117" s="42"/>
    </x:row>
    <x:row r="118">
      <x:c r="A118" s="42"/>
      <x:c r="B118" s="42"/>
      <x:c r="C118" s="42"/>
      <x:c r="D118" s="42"/>
      <x:c r="E118" s="42"/>
      <x:c r="F118" s="42"/>
      <x:c r="G118" s="42"/>
      <x:c r="H118" s="42"/>
      <x:c r="I118" s="42"/>
      <x:c r="J118" s="42"/>
      <x:c r="K118" s="42"/>
      <x:c r="L118" s="42"/>
      <x:c r="M118" s="42"/>
    </x:row>
    <x:row r="119">
      <x:c r="A119" s="42"/>
      <x:c r="B119" s="42"/>
      <x:c r="C119" s="42"/>
      <x:c r="D119" s="42"/>
      <x:c r="E119" s="42"/>
      <x:c r="F119" s="42"/>
      <x:c r="G119" s="42"/>
      <x:c r="H119" s="42"/>
      <x:c r="I119" s="42"/>
      <x:c r="J119" s="42"/>
      <x:c r="K119" s="42"/>
      <x:c r="L119" s="42"/>
      <x:c r="M119" s="42"/>
    </x:row>
    <x:row r="120">
      <x:c r="A120" s="42"/>
      <x:c r="B120" s="42"/>
      <x:c r="C120" s="42"/>
      <x:c r="D120" s="42"/>
      <x:c r="E120" s="42"/>
      <x:c r="F120" s="42"/>
      <x:c r="G120" s="42"/>
      <x:c r="H120" s="42"/>
      <x:c r="I120" s="42"/>
      <x:c r="J120" s="42"/>
      <x:c r="K120" s="42"/>
      <x:c r="L120" s="42"/>
      <x:c r="M120" s="42"/>
    </x:row>
    <x:row r="121">
      <x:c r="A121" s="42"/>
      <x:c r="B121" s="42"/>
      <x:c r="C121" s="42"/>
      <x:c r="D121" s="42"/>
      <x:c r="E121" s="42"/>
      <x:c r="F121" s="42"/>
      <x:c r="G121" s="42"/>
      <x:c r="H121" s="42"/>
      <x:c r="I121" s="42"/>
      <x:c r="J121" s="42"/>
      <x:c r="K121" s="42"/>
      <x:c r="L121" s="42"/>
      <x:c r="M121" s="42"/>
    </x:row>
    <x:row r="122">
      <x:c r="A122" s="42"/>
      <x:c r="B122" s="42"/>
      <x:c r="C122" s="42"/>
      <x:c r="D122" s="42"/>
      <x:c r="E122" s="42"/>
      <x:c r="F122" s="42"/>
      <x:c r="G122" s="42"/>
      <x:c r="H122" s="42"/>
      <x:c r="I122" s="42"/>
      <x:c r="J122" s="42"/>
      <x:c r="K122" s="42"/>
      <x:c r="L122" s="42"/>
      <x:c r="M122" s="42"/>
    </x:row>
    <x:row r="123">
      <x:c r="A123" s="42"/>
      <x:c r="B123" s="42"/>
      <x:c r="C123" s="42"/>
      <x:c r="D123" s="42"/>
      <x:c r="E123" s="42"/>
      <x:c r="F123" s="42"/>
      <x:c r="G123" s="42"/>
      <x:c r="H123" s="42"/>
      <x:c r="I123" s="42"/>
      <x:c r="J123" s="42"/>
      <x:c r="K123" s="42"/>
      <x:c r="L123" s="42"/>
      <x:c r="M123" s="42"/>
    </x:row>
    <x:row r="124">
      <x:c r="A124" s="42"/>
      <x:c r="B124" s="42"/>
      <x:c r="C124" s="42"/>
      <x:c r="D124" s="42"/>
      <x:c r="E124" s="42"/>
      <x:c r="F124" s="42"/>
      <x:c r="G124" s="42"/>
      <x:c r="H124" s="42"/>
      <x:c r="I124" s="42"/>
      <x:c r="J124" s="42"/>
      <x:c r="K124" s="42"/>
      <x:c r="L124" s="42"/>
      <x:c r="M124" s="42"/>
    </x:row>
    <x:row r="125">
      <x:c r="A125" s="42"/>
      <x:c r="B125" s="42"/>
      <x:c r="C125" s="42"/>
      <x:c r="D125" s="42"/>
      <x:c r="E125" s="42"/>
      <x:c r="F125" s="42"/>
      <x:c r="G125" s="42"/>
      <x:c r="H125" s="42"/>
      <x:c r="I125" s="42"/>
      <x:c r="J125" s="42"/>
      <x:c r="K125" s="42"/>
      <x:c r="L125" s="42"/>
      <x:c r="M125" s="42"/>
    </x:row>
    <x:row r="126">
      <x:c r="A126" s="42"/>
      <x:c r="B126" s="42"/>
      <x:c r="C126" s="42"/>
      <x:c r="D126" s="42"/>
      <x:c r="E126" s="42"/>
      <x:c r="F126" s="42"/>
      <x:c r="G126" s="42"/>
      <x:c r="H126" s="42"/>
      <x:c r="I126" s="42"/>
      <x:c r="J126" s="42"/>
      <x:c r="K126" s="42"/>
      <x:c r="L126" s="42"/>
      <x:c r="M126" s="42"/>
    </x:row>
    <x:row r="127">
      <x:c r="A127" s="42"/>
      <x:c r="B127" s="42"/>
      <x:c r="C127" s="42"/>
      <x:c r="D127" s="42"/>
      <x:c r="E127" s="42"/>
      <x:c r="F127" s="42"/>
      <x:c r="G127" s="42"/>
      <x:c r="H127" s="42"/>
      <x:c r="I127" s="42"/>
      <x:c r="J127" s="42"/>
      <x:c r="K127" s="42"/>
      <x:c r="L127" s="42"/>
      <x:c r="M127" s="42"/>
    </x:row>
    <x:row r="128">
      <x:c r="A128" s="42"/>
      <x:c r="B128" s="42"/>
      <x:c r="C128" s="42"/>
      <x:c r="D128" s="42"/>
      <x:c r="E128" s="42"/>
      <x:c r="F128" s="42"/>
      <x:c r="G128" s="42"/>
      <x:c r="H128" s="42"/>
      <x:c r="I128" s="42"/>
      <x:c r="J128" s="42"/>
      <x:c r="K128" s="42"/>
      <x:c r="L128" s="42"/>
      <x:c r="M128" s="42"/>
    </x:row>
    <x:row r="129">
      <x:c r="A129" s="42"/>
      <x:c r="B129" s="42"/>
      <x:c r="C129" s="42"/>
      <x:c r="D129" s="42"/>
      <x:c r="E129" s="42"/>
      <x:c r="F129" s="42"/>
      <x:c r="G129" s="42"/>
      <x:c r="H129" s="42"/>
      <x:c r="I129" s="42"/>
      <x:c r="J129" s="42"/>
      <x:c r="K129" s="42"/>
      <x:c r="L129" s="42"/>
      <x:c r="M129" s="42"/>
    </x:row>
    <x:row r="130">
      <x:c r="A130" s="42"/>
      <x:c r="B130" s="42"/>
      <x:c r="C130" s="42"/>
      <x:c r="D130" s="42"/>
      <x:c r="E130" s="42"/>
      <x:c r="F130" s="42"/>
      <x:c r="G130" s="42"/>
      <x:c r="H130" s="42"/>
      <x:c r="I130" s="42"/>
      <x:c r="J130" s="42"/>
      <x:c r="K130" s="42"/>
      <x:c r="L130" s="42"/>
      <x:c r="M130" s="42"/>
    </x:row>
    <x:row r="131">
      <x:c r="A131" s="42"/>
      <x:c r="B131" s="42"/>
      <x:c r="C131" s="42"/>
      <x:c r="D131" s="42"/>
      <x:c r="E131" s="42"/>
      <x:c r="F131" s="42"/>
      <x:c r="G131" s="42"/>
      <x:c r="H131" s="42"/>
      <x:c r="I131" s="42"/>
      <x:c r="J131" s="42"/>
      <x:c r="K131" s="42"/>
      <x:c r="L131" s="42"/>
      <x:c r="M131" s="42"/>
    </x:row>
    <x:row r="132">
      <x:c r="A132" s="42"/>
      <x:c r="B132" s="42"/>
      <x:c r="C132" s="42"/>
      <x:c r="D132" s="42"/>
      <x:c r="E132" s="42"/>
      <x:c r="F132" s="42"/>
      <x:c r="G132" s="42"/>
      <x:c r="H132" s="42"/>
      <x:c r="I132" s="42"/>
      <x:c r="J132" s="42"/>
      <x:c r="K132" s="42"/>
      <x:c r="L132" s="42"/>
      <x:c r="M132" s="42"/>
    </x:row>
    <x:row r="133">
      <x:c r="A133" s="42"/>
      <x:c r="B133" s="42"/>
      <x:c r="C133" s="42"/>
      <x:c r="D133" s="42"/>
      <x:c r="E133" s="42"/>
      <x:c r="F133" s="42"/>
      <x:c r="G133" s="42"/>
      <x:c r="H133" s="42"/>
      <x:c r="I133" s="42"/>
      <x:c r="J133" s="42"/>
      <x:c r="K133" s="42"/>
      <x:c r="L133" s="42"/>
      <x:c r="M133" s="42"/>
    </x:row>
    <x:row r="134">
      <x:c r="A134" s="42"/>
      <x:c r="B134" s="42"/>
      <x:c r="C134" s="42"/>
      <x:c r="D134" s="42"/>
      <x:c r="E134" s="42"/>
      <x:c r="F134" s="42"/>
      <x:c r="G134" s="42"/>
      <x:c r="H134" s="42"/>
      <x:c r="I134" s="42"/>
      <x:c r="J134" s="42"/>
      <x:c r="K134" s="42"/>
      <x:c r="L134" s="42"/>
      <x:c r="M134" s="42"/>
    </x:row>
    <x:row r="135">
      <x:c r="A135" s="42"/>
      <x:c r="B135" s="42"/>
      <x:c r="C135" s="42"/>
      <x:c r="D135" s="42"/>
      <x:c r="E135" s="42"/>
      <x:c r="F135" s="42"/>
      <x:c r="G135" s="42"/>
      <x:c r="H135" s="42"/>
      <x:c r="I135" s="42"/>
      <x:c r="J135" s="42"/>
      <x:c r="K135" s="42"/>
      <x:c r="L135" s="42"/>
      <x:c r="M135" s="42"/>
    </x:row>
    <x:row r="136">
      <x:c r="A136" s="42"/>
      <x:c r="B136" s="42"/>
      <x:c r="C136" s="42"/>
      <x:c r="D136" s="42"/>
      <x:c r="E136" s="42"/>
      <x:c r="F136" s="42"/>
      <x:c r="G136" s="42"/>
      <x:c r="H136" s="42"/>
      <x:c r="I136" s="42"/>
      <x:c r="J136" s="42"/>
      <x:c r="K136" s="42"/>
      <x:c r="L136" s="42"/>
      <x:c r="M136" s="42"/>
    </x:row>
    <x:row r="137">
      <x:c r="A137" s="42"/>
      <x:c r="B137" s="42"/>
      <x:c r="C137" s="42"/>
      <x:c r="D137" s="42"/>
      <x:c r="E137" s="42"/>
      <x:c r="F137" s="42"/>
      <x:c r="G137" s="42"/>
      <x:c r="H137" s="42"/>
      <x:c r="I137" s="42"/>
      <x:c r="J137" s="42"/>
      <x:c r="K137" s="42"/>
      <x:c r="L137" s="42"/>
      <x:c r="M137" s="42"/>
    </x:row>
    <x:row r="138">
      <x:c r="A138" s="42"/>
      <x:c r="B138" s="42"/>
      <x:c r="C138" s="42"/>
      <x:c r="D138" s="42"/>
      <x:c r="E138" s="42"/>
      <x:c r="F138" s="42"/>
      <x:c r="G138" s="42"/>
      <x:c r="H138" s="42"/>
      <x:c r="I138" s="42"/>
      <x:c r="J138" s="42"/>
      <x:c r="K138" s="42"/>
      <x:c r="L138" s="42"/>
      <x:c r="M138" s="42"/>
    </x:row>
    <x:row r="139">
      <x:c r="A139" s="42"/>
      <x:c r="B139" s="42"/>
      <x:c r="C139" s="42"/>
      <x:c r="D139" s="42"/>
      <x:c r="E139" s="42"/>
      <x:c r="F139" s="42"/>
      <x:c r="G139" s="42"/>
      <x:c r="H139" s="42"/>
      <x:c r="I139" s="42"/>
      <x:c r="J139" s="42"/>
      <x:c r="K139" s="42"/>
      <x:c r="L139" s="42"/>
      <x:c r="M139" s="42"/>
    </x:row>
    <x:row r="140">
      <x:c r="A140" s="42"/>
      <x:c r="B140" s="42"/>
      <x:c r="C140" s="42"/>
      <x:c r="D140" s="42"/>
      <x:c r="E140" s="42"/>
      <x:c r="F140" s="42"/>
      <x:c r="G140" s="42"/>
      <x:c r="H140" s="42"/>
      <x:c r="I140" s="42"/>
      <x:c r="J140" s="42"/>
      <x:c r="K140" s="42"/>
      <x:c r="L140" s="42"/>
      <x:c r="M140" s="42"/>
    </x:row>
    <x:row r="141">
      <x:c r="A141" s="42"/>
      <x:c r="B141" s="42"/>
      <x:c r="C141" s="42"/>
      <x:c r="D141" s="42"/>
      <x:c r="E141" s="42"/>
      <x:c r="F141" s="42"/>
      <x:c r="G141" s="42"/>
      <x:c r="H141" s="42"/>
      <x:c r="I141" s="42"/>
      <x:c r="J141" s="42"/>
      <x:c r="K141" s="42"/>
      <x:c r="L141" s="42"/>
      <x:c r="M141" s="42"/>
    </x:row>
    <x:row r="142">
      <x:c r="A142" s="42"/>
      <x:c r="B142" s="42"/>
      <x:c r="C142" s="42"/>
      <x:c r="D142" s="42"/>
      <x:c r="E142" s="42"/>
      <x:c r="F142" s="42"/>
      <x:c r="G142" s="42"/>
      <x:c r="H142" s="42"/>
      <x:c r="I142" s="42"/>
      <x:c r="J142" s="42"/>
      <x:c r="K142" s="42"/>
      <x:c r="L142" s="42"/>
      <x:c r="M142" s="42"/>
    </x:row>
    <x:row r="143">
      <x:c r="A143" s="42"/>
      <x:c r="B143" s="42"/>
      <x:c r="C143" s="42"/>
      <x:c r="D143" s="42"/>
      <x:c r="E143" s="42"/>
      <x:c r="F143" s="42"/>
      <x:c r="G143" s="42"/>
      <x:c r="H143" s="42"/>
      <x:c r="I143" s="42"/>
      <x:c r="J143" s="42"/>
      <x:c r="K143" s="42"/>
      <x:c r="L143" s="42"/>
      <x:c r="M143" s="42"/>
    </x:row>
    <x:row r="144">
      <x:c r="A144" s="42"/>
      <x:c r="B144" s="42"/>
      <x:c r="C144" s="42"/>
      <x:c r="D144" s="42"/>
      <x:c r="E144" s="42"/>
      <x:c r="F144" s="42"/>
      <x:c r="G144" s="42"/>
      <x:c r="H144" s="42"/>
      <x:c r="I144" s="42"/>
      <x:c r="J144" s="42"/>
      <x:c r="K144" s="42"/>
      <x:c r="L144" s="42"/>
      <x:c r="M144" s="42"/>
    </x:row>
    <x:row r="145">
      <x:c r="A145" s="42"/>
      <x:c r="B145" s="42"/>
      <x:c r="C145" s="42"/>
      <x:c r="D145" s="42"/>
      <x:c r="E145" s="42"/>
      <x:c r="F145" s="42"/>
      <x:c r="G145" s="42"/>
      <x:c r="H145" s="42"/>
      <x:c r="I145" s="42"/>
      <x:c r="J145" s="42"/>
      <x:c r="K145" s="42"/>
      <x:c r="L145" s="42"/>
      <x:c r="M145" s="42"/>
    </x:row>
    <x:row r="146">
      <x:c r="A146" s="42"/>
      <x:c r="B146" s="42"/>
      <x:c r="C146" s="42"/>
      <x:c r="D146" s="42"/>
      <x:c r="E146" s="42"/>
      <x:c r="F146" s="42"/>
      <x:c r="G146" s="42"/>
      <x:c r="H146" s="42"/>
      <x:c r="I146" s="42"/>
      <x:c r="J146" s="42"/>
      <x:c r="K146" s="42"/>
      <x:c r="L146" s="42"/>
      <x:c r="M146" s="42"/>
    </x:row>
    <x:row r="147">
      <x:c r="A147" s="42"/>
      <x:c r="B147" s="42"/>
      <x:c r="C147" s="42"/>
      <x:c r="D147" s="42"/>
      <x:c r="E147" s="42"/>
      <x:c r="F147" s="42"/>
      <x:c r="G147" s="42"/>
      <x:c r="H147" s="42"/>
      <x:c r="I147" s="42"/>
      <x:c r="J147" s="42"/>
      <x:c r="K147" s="42"/>
      <x:c r="L147" s="42"/>
      <x:c r="M147" s="42"/>
    </x:row>
    <x:row r="148">
      <x:c r="A148" s="42"/>
      <x:c r="B148" s="42"/>
      <x:c r="C148" s="42"/>
      <x:c r="D148" s="42"/>
      <x:c r="E148" s="42"/>
      <x:c r="F148" s="42"/>
      <x:c r="G148" s="42"/>
      <x:c r="H148" s="42"/>
      <x:c r="I148" s="42"/>
      <x:c r="J148" s="42"/>
      <x:c r="K148" s="42"/>
      <x:c r="L148" s="42"/>
      <x:c r="M148" s="42"/>
    </x:row>
    <x:row r="149">
      <x:c r="A149" s="42"/>
      <x:c r="B149" s="42"/>
      <x:c r="C149" s="42"/>
      <x:c r="D149" s="42"/>
      <x:c r="E149" s="42"/>
      <x:c r="F149" s="42"/>
      <x:c r="G149" s="42"/>
      <x:c r="H149" s="42"/>
      <x:c r="I149" s="42"/>
      <x:c r="J149" s="42"/>
      <x:c r="K149" s="42"/>
      <x:c r="L149" s="42"/>
      <x:c r="M149" s="42"/>
    </x:row>
    <x:row r="150">
      <x:c r="A150" s="42"/>
      <x:c r="B150" s="42"/>
      <x:c r="C150" s="42"/>
      <x:c r="D150" s="42"/>
      <x:c r="E150" s="42"/>
      <x:c r="F150" s="42"/>
      <x:c r="G150" s="42"/>
      <x:c r="H150" s="42"/>
      <x:c r="I150" s="42"/>
      <x:c r="J150" s="42"/>
      <x:c r="K150" s="42"/>
      <x:c r="L150" s="42"/>
      <x:c r="M150" s="42"/>
    </x:row>
    <x:row r="151">
      <x:c r="A151" s="42"/>
      <x:c r="B151" s="42"/>
      <x:c r="C151" s="42"/>
      <x:c r="D151" s="42"/>
      <x:c r="E151" s="42"/>
      <x:c r="F151" s="42"/>
      <x:c r="G151" s="42"/>
      <x:c r="H151" s="42"/>
      <x:c r="I151" s="42"/>
      <x:c r="J151" s="42"/>
      <x:c r="K151" s="42"/>
      <x:c r="L151" s="42"/>
      <x:c r="M151" s="42"/>
    </x:row>
    <x:row r="152">
      <x:c r="A152" s="42"/>
      <x:c r="B152" s="42"/>
      <x:c r="C152" s="42"/>
      <x:c r="D152" s="42"/>
      <x:c r="E152" s="42"/>
      <x:c r="F152" s="42"/>
      <x:c r="G152" s="42"/>
      <x:c r="H152" s="42"/>
      <x:c r="I152" s="42"/>
      <x:c r="J152" s="42"/>
      <x:c r="K152" s="42"/>
      <x:c r="L152" s="42"/>
      <x:c r="M152" s="42"/>
    </x:row>
    <x:row r="153">
      <x:c r="A153" s="42"/>
      <x:c r="B153" s="42"/>
      <x:c r="C153" s="42"/>
      <x:c r="D153" s="42"/>
      <x:c r="E153" s="42"/>
      <x:c r="F153" s="42"/>
      <x:c r="G153" s="42"/>
      <x:c r="H153" s="42"/>
      <x:c r="I153" s="42"/>
      <x:c r="J153" s="42"/>
      <x:c r="K153" s="42"/>
      <x:c r="L153" s="42"/>
      <x:c r="M153" s="42"/>
    </x:row>
    <x:row r="154">
      <x:c r="A154" s="42"/>
      <x:c r="B154" s="42"/>
      <x:c r="C154" s="42"/>
      <x:c r="D154" s="42"/>
      <x:c r="E154" s="42"/>
      <x:c r="F154" s="42"/>
      <x:c r="G154" s="42"/>
      <x:c r="H154" s="42"/>
      <x:c r="I154" s="42"/>
      <x:c r="J154" s="42"/>
      <x:c r="K154" s="42"/>
      <x:c r="L154" s="42"/>
      <x:c r="M154" s="42"/>
    </x:row>
    <x:row r="155">
      <x:c r="A155" s="42"/>
      <x:c r="B155" s="42"/>
      <x:c r="C155" s="42"/>
      <x:c r="D155" s="42"/>
      <x:c r="E155" s="42"/>
      <x:c r="F155" s="42"/>
      <x:c r="G155" s="42"/>
      <x:c r="H155" s="42"/>
      <x:c r="I155" s="42"/>
      <x:c r="J155" s="42"/>
      <x:c r="K155" s="42"/>
      <x:c r="L155" s="42"/>
      <x:c r="M155" s="42"/>
    </x:row>
    <x:row r="156">
      <x:c r="A156" s="42"/>
      <x:c r="B156" s="42"/>
      <x:c r="C156" s="42"/>
      <x:c r="D156" s="42"/>
      <x:c r="E156" s="42"/>
      <x:c r="F156" s="42"/>
      <x:c r="G156" s="42"/>
      <x:c r="H156" s="42"/>
      <x:c r="I156" s="42"/>
      <x:c r="J156" s="42"/>
      <x:c r="K156" s="42"/>
      <x:c r="L156" s="42"/>
      <x:c r="M156" s="42"/>
    </x:row>
    <x:row r="157">
      <x:c r="A157" s="42"/>
      <x:c r="B157" s="42"/>
      <x:c r="C157" s="42"/>
      <x:c r="D157" s="42"/>
      <x:c r="E157" s="42"/>
      <x:c r="F157" s="42"/>
      <x:c r="G157" s="42"/>
      <x:c r="H157" s="42"/>
      <x:c r="I157" s="42"/>
      <x:c r="J157" s="42"/>
      <x:c r="K157" s="42"/>
      <x:c r="L157" s="42"/>
      <x:c r="M157" s="42"/>
    </x:row>
    <x:row r="158">
      <x:c r="A158" s="42"/>
      <x:c r="B158" s="42"/>
      <x:c r="C158" s="42"/>
      <x:c r="D158" s="42"/>
      <x:c r="E158" s="42"/>
      <x:c r="F158" s="42"/>
      <x:c r="G158" s="42"/>
      <x:c r="H158" s="42"/>
      <x:c r="I158" s="42"/>
      <x:c r="J158" s="42"/>
      <x:c r="K158" s="42"/>
      <x:c r="L158" s="42"/>
      <x:c r="M158" s="42"/>
    </x:row>
    <x:row r="159">
      <x:c r="A159" s="42"/>
      <x:c r="B159" s="42"/>
      <x:c r="C159" s="42"/>
      <x:c r="D159" s="42"/>
      <x:c r="E159" s="42"/>
      <x:c r="F159" s="42"/>
      <x:c r="G159" s="42"/>
      <x:c r="H159" s="42"/>
      <x:c r="I159" s="42"/>
      <x:c r="J159" s="42"/>
      <x:c r="K159" s="42"/>
      <x:c r="L159" s="42"/>
      <x:c r="M159" s="42"/>
    </x:row>
    <x:row r="160">
      <x:c r="A160" s="42"/>
      <x:c r="B160" s="42"/>
      <x:c r="C160" s="42"/>
      <x:c r="D160" s="42"/>
      <x:c r="E160" s="42"/>
      <x:c r="F160" s="42"/>
      <x:c r="G160" s="42"/>
      <x:c r="H160" s="42"/>
      <x:c r="I160" s="42"/>
      <x:c r="J160" s="42"/>
      <x:c r="K160" s="42"/>
      <x:c r="L160" s="42"/>
      <x:c r="M160" s="42"/>
    </x:row>
    <x:row r="161">
      <x:c r="A161" s="42"/>
      <x:c r="B161" s="42"/>
      <x:c r="C161" s="42"/>
      <x:c r="D161" s="42"/>
      <x:c r="E161" s="42"/>
      <x:c r="F161" s="42"/>
      <x:c r="G161" s="42"/>
      <x:c r="H161" s="42"/>
      <x:c r="I161" s="42"/>
      <x:c r="J161" s="42"/>
      <x:c r="K161" s="42"/>
      <x:c r="L161" s="42"/>
      <x:c r="M161" s="42"/>
    </x:row>
    <x:row r="162">
      <x:c r="A162" s="42"/>
      <x:c r="B162" s="42"/>
      <x:c r="C162" s="42"/>
      <x:c r="D162" s="42"/>
      <x:c r="E162" s="42"/>
      <x:c r="F162" s="42"/>
      <x:c r="G162" s="42"/>
      <x:c r="H162" s="42"/>
      <x:c r="I162" s="42"/>
      <x:c r="J162" s="42"/>
      <x:c r="K162" s="42"/>
      <x:c r="L162" s="42"/>
      <x:c r="M162" s="42"/>
    </x:row>
    <x:row r="163">
      <x:c r="A163" s="42"/>
      <x:c r="B163" s="42"/>
      <x:c r="C163" s="42"/>
      <x:c r="D163" s="42"/>
      <x:c r="E163" s="42"/>
      <x:c r="F163" s="42"/>
      <x:c r="G163" s="42"/>
      <x:c r="H163" s="42"/>
      <x:c r="I163" s="42"/>
      <x:c r="J163" s="42"/>
      <x:c r="K163" s="42"/>
      <x:c r="L163" s="42"/>
      <x:c r="M163" s="42"/>
    </x:row>
    <x:row r="164">
      <x:c r="A164" s="42"/>
      <x:c r="B164" s="42"/>
      <x:c r="C164" s="42"/>
      <x:c r="D164" s="42"/>
      <x:c r="E164" s="42"/>
      <x:c r="F164" s="42"/>
      <x:c r="G164" s="42"/>
      <x:c r="H164" s="42"/>
      <x:c r="I164" s="42"/>
      <x:c r="J164" s="42"/>
      <x:c r="K164" s="42"/>
      <x:c r="L164" s="42"/>
      <x:c r="M164" s="42"/>
    </x:row>
    <x:row r="165">
      <x:c r="A165" s="42"/>
      <x:c r="B165" s="42"/>
      <x:c r="C165" s="42"/>
      <x:c r="D165" s="42"/>
      <x:c r="E165" s="42"/>
      <x:c r="F165" s="42"/>
      <x:c r="G165" s="42"/>
      <x:c r="H165" s="42"/>
      <x:c r="I165" s="42"/>
      <x:c r="J165" s="42"/>
      <x:c r="K165" s="42"/>
      <x:c r="L165" s="42"/>
      <x:c r="M165" s="42"/>
    </x:row>
    <x:row r="166">
      <x:c r="A166" s="42"/>
      <x:c r="B166" s="42"/>
      <x:c r="C166" s="42"/>
      <x:c r="D166" s="42"/>
      <x:c r="E166" s="42"/>
      <x:c r="F166" s="42"/>
      <x:c r="G166" s="42"/>
      <x:c r="H166" s="42"/>
      <x:c r="I166" s="42"/>
      <x:c r="J166" s="42"/>
      <x:c r="K166" s="42"/>
      <x:c r="L166" s="42"/>
      <x:c r="M166" s="42"/>
    </x:row>
    <x:row r="167">
      <x:c r="A167" s="42"/>
      <x:c r="B167" s="42"/>
      <x:c r="C167" s="42"/>
      <x:c r="D167" s="42"/>
      <x:c r="E167" s="42"/>
      <x:c r="F167" s="42"/>
      <x:c r="G167" s="42"/>
      <x:c r="H167" s="42"/>
      <x:c r="I167" s="42"/>
      <x:c r="J167" s="42"/>
      <x:c r="K167" s="42"/>
      <x:c r="L167" s="42"/>
      <x:c r="M167" s="42"/>
    </x:row>
    <x:row r="168">
      <x:c r="A168" s="42"/>
      <x:c r="B168" s="42"/>
      <x:c r="C168" s="42"/>
      <x:c r="D168" s="42"/>
      <x:c r="E168" s="42"/>
      <x:c r="F168" s="42"/>
      <x:c r="G168" s="42"/>
      <x:c r="H168" s="42"/>
      <x:c r="I168" s="42"/>
      <x:c r="J168" s="42"/>
      <x:c r="K168" s="42"/>
      <x:c r="L168" s="42"/>
      <x:c r="M168" s="42"/>
    </x:row>
    <x:row r="169">
      <x:c r="A169" s="42"/>
      <x:c r="B169" s="42"/>
      <x:c r="C169" s="42"/>
      <x:c r="D169" s="42"/>
      <x:c r="E169" s="42"/>
      <x:c r="F169" s="42"/>
      <x:c r="G169" s="42"/>
      <x:c r="H169" s="42"/>
      <x:c r="I169" s="42"/>
      <x:c r="J169" s="42"/>
      <x:c r="K169" s="42"/>
      <x:c r="L169" s="42"/>
      <x:c r="M169" s="42"/>
    </x:row>
    <x:row r="170">
      <x:c r="A170" s="42"/>
      <x:c r="B170" s="42"/>
      <x:c r="C170" s="42"/>
      <x:c r="D170" s="42"/>
      <x:c r="E170" s="42"/>
      <x:c r="F170" s="42"/>
      <x:c r="G170" s="42"/>
      <x:c r="H170" s="42"/>
      <x:c r="I170" s="42"/>
      <x:c r="J170" s="42"/>
      <x:c r="K170" s="42"/>
      <x:c r="L170" s="42"/>
      <x:c r="M170" s="42"/>
    </x:row>
    <x:row r="171">
      <x:c r="A171" s="42"/>
      <x:c r="B171" s="42"/>
      <x:c r="C171" s="42"/>
      <x:c r="D171" s="42"/>
      <x:c r="E171" s="42"/>
      <x:c r="F171" s="42"/>
      <x:c r="G171" s="42"/>
      <x:c r="H171" s="42"/>
      <x:c r="I171" s="42"/>
      <x:c r="J171" s="42"/>
      <x:c r="K171" s="42"/>
      <x:c r="L171" s="42"/>
      <x:c r="M171" s="42"/>
    </x:row>
    <x:row r="172">
      <x:c r="A172" s="42"/>
      <x:c r="B172" s="42"/>
      <x:c r="C172" s="42"/>
      <x:c r="D172" s="42"/>
      <x:c r="E172" s="42"/>
      <x:c r="F172" s="42"/>
      <x:c r="G172" s="42"/>
      <x:c r="H172" s="42"/>
      <x:c r="I172" s="42"/>
      <x:c r="J172" s="42"/>
      <x:c r="K172" s="42"/>
      <x:c r="L172" s="42"/>
      <x:c r="M172" s="42"/>
    </x:row>
    <x:row r="173">
      <x:c r="A173" s="42"/>
      <x:c r="B173" s="42"/>
      <x:c r="C173" s="42"/>
      <x:c r="D173" s="42"/>
      <x:c r="E173" s="42"/>
      <x:c r="F173" s="42"/>
      <x:c r="G173" s="42"/>
      <x:c r="H173" s="42"/>
      <x:c r="I173" s="42"/>
      <x:c r="J173" s="42"/>
      <x:c r="K173" s="42"/>
      <x:c r="L173" s="42"/>
      <x:c r="M173" s="42"/>
    </x:row>
    <x:row r="174">
      <x:c r="A174" s="42"/>
      <x:c r="B174" s="42"/>
      <x:c r="C174" s="42"/>
      <x:c r="D174" s="42"/>
      <x:c r="E174" s="42"/>
      <x:c r="F174" s="42"/>
      <x:c r="G174" s="42"/>
      <x:c r="H174" s="42"/>
      <x:c r="I174" s="42"/>
      <x:c r="J174" s="42"/>
      <x:c r="K174" s="42"/>
      <x:c r="L174" s="42"/>
      <x:c r="M174" s="42"/>
    </x:row>
    <x:row r="175">
      <x:c r="A175" s="42"/>
      <x:c r="B175" s="42"/>
      <x:c r="C175" s="42"/>
      <x:c r="D175" s="42"/>
      <x:c r="E175" s="42"/>
      <x:c r="F175" s="42"/>
      <x:c r="G175" s="42"/>
      <x:c r="H175" s="42"/>
      <x:c r="I175" s="42"/>
      <x:c r="J175" s="42"/>
      <x:c r="K175" s="42"/>
      <x:c r="L175" s="42"/>
      <x:c r="M175" s="42"/>
    </x:row>
    <x:row r="176">
      <x:c r="A176" s="42"/>
      <x:c r="B176" s="42"/>
      <x:c r="C176" s="42"/>
      <x:c r="D176" s="42"/>
      <x:c r="E176" s="42"/>
      <x:c r="F176" s="42"/>
      <x:c r="G176" s="42"/>
      <x:c r="H176" s="42"/>
      <x:c r="I176" s="42"/>
      <x:c r="J176" s="42"/>
      <x:c r="K176" s="42"/>
      <x:c r="L176" s="42"/>
      <x:c r="M176" s="42"/>
    </x:row>
    <x:row r="177">
      <x:c r="A177" s="42"/>
      <x:c r="B177" s="42"/>
      <x:c r="C177" s="42"/>
      <x:c r="D177" s="42"/>
      <x:c r="E177" s="42"/>
      <x:c r="F177" s="42"/>
      <x:c r="G177" s="42"/>
      <x:c r="H177" s="42"/>
      <x:c r="I177" s="42"/>
      <x:c r="J177" s="42"/>
      <x:c r="K177" s="42"/>
      <x:c r="L177" s="42"/>
      <x:c r="M177" s="42"/>
    </x:row>
    <x:row r="178">
      <x:c r="A178" s="42"/>
      <x:c r="B178" s="42"/>
      <x:c r="C178" s="42"/>
      <x:c r="D178" s="42"/>
      <x:c r="E178" s="42"/>
      <x:c r="F178" s="42"/>
      <x:c r="G178" s="42"/>
      <x:c r="H178" s="42"/>
      <x:c r="I178" s="42"/>
      <x:c r="J178" s="42"/>
      <x:c r="K178" s="42"/>
      <x:c r="L178" s="42"/>
      <x:c r="M178" s="42"/>
    </x:row>
    <x:row r="179">
      <x:c r="A179" s="42"/>
      <x:c r="B179" s="42"/>
      <x:c r="C179" s="42"/>
      <x:c r="D179" s="42"/>
      <x:c r="E179" s="42"/>
      <x:c r="F179" s="42"/>
      <x:c r="G179" s="42"/>
      <x:c r="H179" s="42"/>
      <x:c r="I179" s="42"/>
      <x:c r="J179" s="42"/>
      <x:c r="K179" s="42"/>
      <x:c r="L179" s="42"/>
      <x:c r="M179" s="42"/>
    </x:row>
    <x:row r="180">
      <x:c r="A180" s="42"/>
      <x:c r="B180" s="42"/>
      <x:c r="C180" s="42"/>
      <x:c r="D180" s="42"/>
      <x:c r="E180" s="42"/>
      <x:c r="F180" s="42"/>
      <x:c r="G180" s="42"/>
      <x:c r="H180" s="42"/>
      <x:c r="I180" s="42"/>
      <x:c r="J180" s="42"/>
      <x:c r="K180" s="42"/>
      <x:c r="L180" s="42"/>
      <x:c r="M180" s="42"/>
    </x:row>
    <x:row r="181">
      <x:c r="A181" s="42"/>
      <x:c r="B181" s="42"/>
      <x:c r="C181" s="42"/>
      <x:c r="D181" s="42"/>
      <x:c r="E181" s="42"/>
      <x:c r="F181" s="42"/>
      <x:c r="G181" s="42"/>
      <x:c r="H181" s="42"/>
      <x:c r="I181" s="42"/>
      <x:c r="J181" s="42"/>
      <x:c r="K181" s="42"/>
      <x:c r="L181" s="42"/>
      <x:c r="M181" s="42"/>
    </x:row>
    <x:row r="182">
      <x:c r="A182" s="42"/>
      <x:c r="B182" s="42"/>
      <x:c r="C182" s="42"/>
      <x:c r="D182" s="42"/>
      <x:c r="E182" s="42"/>
      <x:c r="F182" s="42"/>
      <x:c r="G182" s="42"/>
      <x:c r="H182" s="42"/>
      <x:c r="I182" s="42"/>
      <x:c r="J182" s="42"/>
      <x:c r="K182" s="42"/>
      <x:c r="L182" s="42"/>
      <x:c r="M182" s="42"/>
    </x:row>
    <x:row r="183">
      <x:c r="A183" s="42"/>
      <x:c r="B183" s="42"/>
      <x:c r="C183" s="42"/>
      <x:c r="D183" s="42"/>
      <x:c r="E183" s="42"/>
      <x:c r="F183" s="42"/>
      <x:c r="G183" s="42"/>
      <x:c r="H183" s="42"/>
      <x:c r="I183" s="42"/>
      <x:c r="J183" s="42"/>
      <x:c r="K183" s="42"/>
      <x:c r="L183" s="42"/>
      <x:c r="M183" s="42"/>
    </x:row>
    <x:row r="184">
      <x:c r="A184" s="42"/>
      <x:c r="B184" s="42"/>
      <x:c r="C184" s="42"/>
      <x:c r="D184" s="42"/>
      <x:c r="E184" s="42"/>
      <x:c r="F184" s="42"/>
      <x:c r="G184" s="42"/>
      <x:c r="H184" s="42"/>
      <x:c r="I184" s="42"/>
      <x:c r="J184" s="42"/>
      <x:c r="K184" s="42"/>
      <x:c r="L184" s="42"/>
      <x:c r="M184" s="42"/>
    </x:row>
    <x:row r="185">
      <x:c r="A185" s="42"/>
      <x:c r="B185" s="42"/>
      <x:c r="C185" s="42"/>
      <x:c r="D185" s="42"/>
      <x:c r="E185" s="42"/>
      <x:c r="F185" s="42"/>
      <x:c r="G185" s="42"/>
      <x:c r="H185" s="42"/>
      <x:c r="I185" s="42"/>
      <x:c r="J185" s="42"/>
      <x:c r="K185" s="42"/>
      <x:c r="L185" s="42"/>
      <x:c r="M185" s="42"/>
    </x:row>
    <x:row r="186">
      <x:c r="A186" s="42"/>
      <x:c r="B186" s="42"/>
      <x:c r="C186" s="42"/>
      <x:c r="D186" s="42"/>
      <x:c r="E186" s="42"/>
      <x:c r="F186" s="42"/>
      <x:c r="G186" s="42"/>
      <x:c r="H186" s="42"/>
      <x:c r="I186" s="42"/>
      <x:c r="J186" s="42"/>
      <x:c r="K186" s="42"/>
      <x:c r="L186" s="42"/>
      <x:c r="M186" s="42"/>
    </x:row>
    <x:row r="187">
      <x:c r="A187" s="42"/>
      <x:c r="B187" s="42"/>
      <x:c r="C187" s="42"/>
      <x:c r="D187" s="42"/>
      <x:c r="E187" s="42"/>
      <x:c r="F187" s="42"/>
      <x:c r="G187" s="42"/>
      <x:c r="H187" s="42"/>
      <x:c r="I187" s="42"/>
      <x:c r="J187" s="42"/>
      <x:c r="K187" s="42"/>
      <x:c r="L187" s="42"/>
      <x:c r="M187" s="42"/>
    </x:row>
    <x:row r="188">
      <x:c r="A188" s="42"/>
      <x:c r="B188" s="42"/>
      <x:c r="C188" s="42"/>
      <x:c r="D188" s="42"/>
      <x:c r="E188" s="42"/>
      <x:c r="F188" s="42"/>
      <x:c r="G188" s="42"/>
      <x:c r="H188" s="42"/>
      <x:c r="I188" s="42"/>
      <x:c r="J188" s="42"/>
      <x:c r="K188" s="42"/>
      <x:c r="L188" s="42"/>
      <x:c r="M188" s="42"/>
    </x:row>
    <x:row r="189">
      <x:c r="A189" s="42"/>
      <x:c r="B189" s="42"/>
      <x:c r="C189" s="42"/>
      <x:c r="D189" s="42"/>
      <x:c r="E189" s="42"/>
      <x:c r="F189" s="42"/>
      <x:c r="G189" s="42"/>
      <x:c r="H189" s="42"/>
      <x:c r="I189" s="42"/>
      <x:c r="J189" s="42"/>
      <x:c r="K189" s="42"/>
      <x:c r="L189" s="42"/>
      <x:c r="M189" s="42"/>
    </x:row>
    <x:row r="190">
      <x:c r="A190" s="42"/>
      <x:c r="B190" s="42"/>
      <x:c r="C190" s="42"/>
      <x:c r="D190" s="42"/>
      <x:c r="E190" s="42"/>
      <x:c r="F190" s="42"/>
      <x:c r="G190" s="42"/>
      <x:c r="H190" s="42"/>
      <x:c r="I190" s="42"/>
      <x:c r="J190" s="42"/>
      <x:c r="K190" s="42"/>
      <x:c r="L190" s="42"/>
      <x:c r="M190" s="42"/>
    </x:row>
    <x:row r="191">
      <x:c r="A191" s="42"/>
      <x:c r="B191" s="42"/>
      <x:c r="C191" s="42"/>
      <x:c r="D191" s="42"/>
      <x:c r="E191" s="42"/>
      <x:c r="F191" s="42"/>
      <x:c r="G191" s="42"/>
      <x:c r="H191" s="42"/>
      <x:c r="I191" s="42"/>
      <x:c r="J191" s="42"/>
      <x:c r="K191" s="42"/>
      <x:c r="L191" s="42"/>
      <x:c r="M191" s="42"/>
    </x:row>
    <x:row r="192">
      <x:c r="A192" s="42"/>
      <x:c r="B192" s="42"/>
      <x:c r="C192" s="42"/>
      <x:c r="D192" s="42"/>
      <x:c r="E192" s="42"/>
      <x:c r="F192" s="42"/>
      <x:c r="G192" s="42"/>
      <x:c r="H192" s="42"/>
      <x:c r="I192" s="42"/>
      <x:c r="J192" s="42"/>
      <x:c r="K192" s="42"/>
      <x:c r="L192" s="42"/>
      <x:c r="M192" s="42"/>
    </x:row>
    <x:row r="193">
      <x:c r="A193" s="42"/>
      <x:c r="B193" s="42"/>
      <x:c r="C193" s="42"/>
      <x:c r="D193" s="42"/>
      <x:c r="E193" s="42"/>
      <x:c r="F193" s="42"/>
      <x:c r="G193" s="42"/>
      <x:c r="H193" s="42"/>
      <x:c r="I193" s="42"/>
      <x:c r="J193" s="42"/>
      <x:c r="K193" s="42"/>
      <x:c r="L193" s="42"/>
      <x:c r="M193" s="42"/>
    </x:row>
    <x:row r="194">
      <x:c r="A194" s="42"/>
      <x:c r="B194" s="42"/>
      <x:c r="C194" s="42"/>
      <x:c r="D194" s="42"/>
      <x:c r="E194" s="42"/>
      <x:c r="F194" s="42"/>
      <x:c r="G194" s="42"/>
      <x:c r="H194" s="42"/>
      <x:c r="I194" s="42"/>
      <x:c r="J194" s="42"/>
      <x:c r="K194" s="42"/>
      <x:c r="L194" s="42"/>
      <x:c r="M194" s="42"/>
    </x:row>
    <x:row r="195">
      <x:c r="A195" s="42"/>
      <x:c r="B195" s="42"/>
      <x:c r="C195" s="42"/>
      <x:c r="D195" s="42"/>
      <x:c r="E195" s="42"/>
      <x:c r="F195" s="42"/>
      <x:c r="G195" s="42"/>
      <x:c r="H195" s="42"/>
      <x:c r="I195" s="42"/>
      <x:c r="J195" s="42"/>
      <x:c r="K195" s="42"/>
      <x:c r="L195" s="42"/>
      <x:c r="M195" s="42"/>
    </x:row>
    <x:row r="196">
      <x:c r="A196" s="42"/>
      <x:c r="B196" s="42"/>
      <x:c r="C196" s="42"/>
      <x:c r="D196" s="42"/>
      <x:c r="E196" s="42"/>
      <x:c r="F196" s="42"/>
      <x:c r="G196" s="42"/>
      <x:c r="H196" s="42"/>
      <x:c r="I196" s="42"/>
      <x:c r="J196" s="42"/>
      <x:c r="K196" s="42"/>
      <x:c r="L196" s="42"/>
      <x:c r="M196" s="42"/>
    </x:row>
    <x:row r="197">
      <x:c r="A197" s="42"/>
      <x:c r="B197" s="42"/>
      <x:c r="C197" s="42"/>
      <x:c r="D197" s="42"/>
      <x:c r="E197" s="42"/>
      <x:c r="F197" s="42"/>
      <x:c r="G197" s="42"/>
      <x:c r="H197" s="42"/>
      <x:c r="I197" s="42"/>
      <x:c r="J197" s="42"/>
      <x:c r="K197" s="42"/>
      <x:c r="L197" s="42"/>
      <x:c r="M197" s="42"/>
    </x:row>
    <x:row r="198">
      <x:c r="A198" s="42"/>
      <x:c r="B198" s="42"/>
      <x:c r="C198" s="42"/>
      <x:c r="D198" s="42"/>
      <x:c r="E198" s="42"/>
      <x:c r="F198" s="42"/>
      <x:c r="G198" s="42"/>
      <x:c r="H198" s="42"/>
      <x:c r="I198" s="42"/>
      <x:c r="J198" s="42"/>
      <x:c r="K198" s="42"/>
      <x:c r="L198" s="42"/>
      <x:c r="M198" s="42"/>
    </x:row>
    <x:row r="199">
      <x:c r="A199" s="42"/>
      <x:c r="B199" s="42"/>
      <x:c r="C199" s="42"/>
      <x:c r="D199" s="42"/>
      <x:c r="E199" s="42"/>
      <x:c r="F199" s="42"/>
      <x:c r="G199" s="42"/>
      <x:c r="H199" s="42"/>
      <x:c r="I199" s="42"/>
      <x:c r="J199" s="42"/>
      <x:c r="K199" s="42"/>
      <x:c r="L199" s="42"/>
      <x:c r="M199" s="42"/>
    </x:row>
    <x:row r="200">
      <x:c r="A200" s="42"/>
      <x:c r="B200" s="42"/>
      <x:c r="C200" s="42"/>
      <x:c r="D200" s="42"/>
      <x:c r="E200" s="42"/>
      <x:c r="F200" s="42"/>
      <x:c r="G200" s="42"/>
      <x:c r="H200" s="42"/>
      <x:c r="I200" s="42"/>
      <x:c r="J200" s="42"/>
      <x:c r="K200" s="42"/>
      <x:c r="L200" s="42"/>
      <x:c r="M200" s="42"/>
    </x:row>
  </x:sheetData>
  <x:mergeCells>
    <x:mergeCell ref="A1:M1"/>
    <x:mergeCell ref="A2:M2"/>
  </x:mergeCells>
  <x:pageMargins left="0.7" right="0.7" top="0.75" bottom="0.75" header="0.3" footer="0.3"/>
  <x:drawing xmlns:r="http://schemas.openxmlformats.org/officeDocument/2006/relationships" r:id="Racd99483c0784acf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.630001068115234" hidden="0" customWidth="1"/>
    <x:col min="2" max="2" width="11.880000114440918" hidden="0" customWidth="1"/>
    <x:col min="3" max="3" width="11.880000114440918" hidden="0" customWidth="1"/>
    <x:col min="4" max="4" width="11.880000114440918" hidden="0" customWidth="1"/>
    <x:col min="5" max="5" width="11.880000114440918" hidden="0" customWidth="1"/>
    <x:col min="6" max="6" width="11.880000114440918" hidden="0" customWidth="1"/>
    <x:col min="7" max="7" width="11.880000114440918" hidden="0" customWidth="1"/>
    <x:col min="8" max="8" width="11.880000114440918" hidden="0" customWidth="1"/>
    <x:col min="9" max="9" width="11.880000114440918" hidden="0" customWidth="1"/>
    <x:col min="10" max="10" width="11.880000114440918" hidden="0" customWidth="1"/>
    <x:col min="11" max="11" width="11.880000114440918" hidden="0" customWidth="1"/>
    <x:col min="12" max="12" width="11.880000114440918" hidden="0" customWidth="1"/>
    <x:col min="13" max="13" width="11.880000114440918" hidden="0" customWidth="1"/>
    <x:col min="15" max="15" width="27.5" hidden="0" customWidth="1"/>
    <x:col min="16" max="16" width="15" hidden="0" customWidth="1"/>
    <x:col min="17" max="17" width="15" hidden="0" customWidth="1"/>
    <x:col min="18" max="18" width="15" hidden="0" customWidth="1"/>
  </x:cols>
  <x:sheetData>
    <x:row r="1" ht="25.5" customHeight="1">
      <x:c r="A1" s="41" t="str">
        <x:v>Лист. Пессимистичный сценарий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</x:row>
    <x:row r="2" ht="22.5" customHeight="1">
      <x:c r="A2" s="43" t="str">
        <x:v>Укрупненный сценарий для защиты: пользователи, платящие, доход, расходы, прибыль, рентабельность.</x:v>
      </x:c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</x:row>
    <x:row r="3">
      <x:c r="A3" s="42"/>
      <x:c r="B3" s="42"/>
      <x:c r="C3" s="42"/>
      <x:c r="D3" s="42"/>
      <x:c r="E3" s="42"/>
      <x:c r="F3" s="42"/>
      <x:c r="G3" s="42"/>
      <x:c r="H3" s="42"/>
      <x:c r="I3" s="42"/>
      <x:c r="J3" s="42"/>
      <x:c r="K3" s="42"/>
      <x:c r="L3" s="42"/>
      <x:c r="M3" s="42"/>
    </x:row>
    <x:row r="4">
      <x:c r="A4" s="44" t="str">
        <x:v>Показатель</x:v>
      </x:c>
      <x:c r="B4" s="44" t="str">
        <x:v>М1</x:v>
      </x:c>
      <x:c r="C4" s="44" t="str">
        <x:v>М2</x:v>
      </x:c>
      <x:c r="D4" s="44" t="str">
        <x:v>М3</x:v>
      </x:c>
      <x:c r="E4" s="44" t="str">
        <x:v>М4</x:v>
      </x:c>
      <x:c r="F4" s="44" t="str">
        <x:v>М5</x:v>
      </x:c>
      <x:c r="G4" s="44" t="str">
        <x:v>М6</x:v>
      </x:c>
      <x:c r="H4" s="44" t="str">
        <x:v>М7</x:v>
      </x:c>
      <x:c r="I4" s="44" t="str">
        <x:v>М8</x:v>
      </x:c>
      <x:c r="J4" s="44" t="str">
        <x:v>М9</x:v>
      </x:c>
      <x:c r="K4" s="44" t="str">
        <x:v>М10</x:v>
      </x:c>
      <x:c r="L4" s="44" t="str">
        <x:v>М11</x:v>
      </x:c>
      <x:c r="M4" s="44" t="str">
        <x:v>М12</x:v>
      </x:c>
      <x:c r="O4" s="13" t="str">
        <x:v>Сводка сценария</x:v>
      </x:c>
      <x:c r="P4" s="13" t="str">
        <x:v>2-3 мес.</x:v>
      </x:c>
      <x:c r="Q4" s="13" t="str">
        <x:v>3-6 мес.</x:v>
      </x:c>
      <x:c r="R4" s="13" t="str">
        <x:v>12 мес.</x:v>
      </x:c>
    </x:row>
    <x:row r="5">
      <x:c r="A5" s="45" t="str">
        <x:v>Посетители сайта</x:v>
      </x:c>
      <x:c r="B5" s="62" t="n">
        <x:f>ROUND('Исходные данные'!B43*'Исходные данные'!$G$12,0)</x:f>
        <x:v>900</x:v>
      </x:c>
      <x:c r="C5" s="62" t="n">
        <x:f>ROUND('Исходные данные'!C43*'Исходные данные'!$G$12,0)</x:f>
        <x:v>1800</x:v>
      </x:c>
      <x:c r="D5" s="62" t="n">
        <x:f>ROUND('Исходные данные'!D43*'Исходные данные'!$G$12,0)</x:f>
        <x:v>3600</x:v>
      </x:c>
      <x:c r="E5" s="62" t="n">
        <x:f>ROUND('Исходные данные'!E43*'Исходные данные'!$G$12,0)</x:f>
        <x:v>6000</x:v>
      </x:c>
      <x:c r="F5" s="62" t="n">
        <x:f>ROUND('Исходные данные'!F43*'Исходные данные'!$G$12,0)</x:f>
        <x:v>10800</x:v>
      </x:c>
      <x:c r="G5" s="62" t="n">
        <x:f>ROUND('Исходные данные'!G43*'Исходные данные'!$G$12,0)</x:f>
        <x:v>18000</x:v>
      </x:c>
      <x:c r="H5" s="62" t="n">
        <x:f>ROUND('Исходные данные'!H43*'Исходные данные'!$G$12,0)</x:f>
        <x:v>27000</x:v>
      </x:c>
      <x:c r="I5" s="62" t="n">
        <x:f>ROUND('Исходные данные'!I43*'Исходные данные'!$G$12,0)</x:f>
        <x:v>39000</x:v>
      </x:c>
      <x:c r="J5" s="62" t="n">
        <x:f>ROUND('Исходные данные'!J43*'Исходные данные'!$G$12,0)</x:f>
        <x:v>51000</x:v>
      </x:c>
      <x:c r="K5" s="62" t="n">
        <x:f>ROUND('Исходные данные'!K43*'Исходные данные'!$G$12,0)</x:f>
        <x:v>66000</x:v>
      </x:c>
      <x:c r="L5" s="62" t="n">
        <x:f>ROUND('Исходные данные'!L43*'Исходные данные'!$G$12,0)</x:f>
        <x:v>78000</x:v>
      </x:c>
      <x:c r="M5" s="62" t="n">
        <x:f>ROUND('Исходные данные'!M43*'Исходные данные'!$G$12,0)</x:f>
        <x:v>90000</x:v>
      </x:c>
      <x:c r="O5" s="16" t="str">
        <x:v>Пользователи / активации</x:v>
      </x:c>
      <x:c r="P5" s="27" t="n">
        <x:f>SUM(C9:D9)</x:f>
        <x:v>305</x:v>
      </x:c>
      <x:c r="Q5" s="27" t="n">
        <x:f>SUM(D9:G9)</x:f>
        <x:v>2554</x:v>
      </x:c>
      <x:c r="R5" s="27" t="n">
        <x:f>SUM(B9:M9)</x:f>
        <x:v>34106</x:v>
      </x:c>
    </x:row>
    <x:row r="6">
      <x:c r="A6" s="45" t="str">
        <x:v>Site → Bot</x:v>
      </x:c>
      <x:c r="B6" s="63" t="n">
        <x:f>MIN(60%,'Исходные данные'!B44*SQRT('Исходные данные'!$G$13))</x:f>
        <x:v>0.1773696704625681</x:v>
      </x:c>
      <x:c r="C6" s="63" t="n">
        <x:f>MIN(60%,'Исходные данные'!C44*SQRT('Исходные данные'!$G$13))</x:f>
        <x:v>0.18543192821086665</x:v>
      </x:c>
      <x:c r="D6" s="63" t="n">
        <x:f>MIN(60%,'Исходные данные'!D44*SQRT('Исходные данные'!$G$13))</x:f>
        <x:v>0.1934941859591652</x:v>
      </x:c>
      <x:c r="E6" s="63" t="n">
        <x:f>MIN(60%,'Исходные данные'!E44*SQRT('Исходные данные'!$G$13))</x:f>
        <x:v>0.20155644370746376</x:v>
      </x:c>
      <x:c r="F6" s="63" t="n">
        <x:f>MIN(60%,'Исходные данные'!F44*SQRT('Исходные данные'!$G$13))</x:f>
        <x:v>0.2096187014557623</x:v>
      </x:c>
      <x:c r="G6" s="63" t="n">
        <x:f>MIN(60%,'Исходные данные'!G44*SQRT('Исходные данные'!$G$13))</x:f>
        <x:v>0.21768095920406086</x:v>
      </x:c>
      <x:c r="H6" s="63" t="n">
        <x:f>MIN(60%,'Исходные данные'!H44*SQRT('Исходные данные'!$G$13))</x:f>
        <x:v>0.22574321695235944</x:v>
      </x:c>
      <x:c r="I6" s="63" t="n">
        <x:f>MIN(60%,'Исходные данные'!I44*SQRT('Исходные данные'!$G$13))</x:f>
        <x:v>0.23380547470065793</x:v>
      </x:c>
      <x:c r="J6" s="63" t="n">
        <x:f>MIN(60%,'Исходные данные'!J44*SQRT('Исходные данные'!$G$13))</x:f>
        <x:v>0.24186773244895649</x:v>
      </x:c>
      <x:c r="K6" s="63" t="n">
        <x:f>MIN(60%,'Исходные данные'!K44*SQRT('Исходные данные'!$G$13))</x:f>
        <x:v>0.24992999019725506</x:v>
      </x:c>
      <x:c r="L6" s="63" t="n">
        <x:f>MIN(60%,'Исходные данные'!L44*SQRT('Исходные данные'!$G$13))</x:f>
        <x:v>0.2579922479455536</x:v>
      </x:c>
      <x:c r="M6" s="63" t="n">
        <x:f>MIN(60%,'Исходные данные'!M44*SQRT('Исходные данные'!$G$13))</x:f>
        <x:v>0.2660545056938522</x:v>
      </x:c>
      <x:c r="O6" s="16" t="str">
        <x:v>Платящие на конец</x:v>
      </x:c>
      <x:c r="P6" s="27" t="n">
        <x:f>D13</x:f>
        <x:v>6</x:v>
      </x:c>
      <x:c r="Q6" s="27" t="n">
        <x:f>G13</x:f>
        <x:v>49</x:v>
      </x:c>
      <x:c r="R6" s="27" t="n">
        <x:f>M13</x:f>
        <x:v>740</x:v>
      </x:c>
    </x:row>
    <x:row r="7">
      <x:c r="A7" s="45" t="str">
        <x:v>Запуски бота</x:v>
      </x:c>
      <x:c r="B7" s="62" t="n">
        <x:f>ROUND(B5*B6,0)</x:f>
        <x:v>160</x:v>
      </x:c>
      <x:c r="C7" s="62" t="n">
        <x:f>ROUND(C5*C6,0)</x:f>
        <x:v>334</x:v>
      </x:c>
      <x:c r="D7" s="62" t="n">
        <x:f>ROUND(D5*D6,0)</x:f>
        <x:v>697</x:v>
      </x:c>
      <x:c r="E7" s="62" t="n">
        <x:f>ROUND(E5*E6,0)</x:f>
        <x:v>1209</x:v>
      </x:c>
      <x:c r="F7" s="62" t="n">
        <x:f>ROUND(F5*F6,0)</x:f>
        <x:v>2264</x:v>
      </x:c>
      <x:c r="G7" s="62" t="n">
        <x:f>ROUND(G5*G6,0)</x:f>
        <x:v>3918</x:v>
      </x:c>
      <x:c r="H7" s="62" t="n">
        <x:f>ROUND(H5*H6,0)</x:f>
        <x:v>6095</x:v>
      </x:c>
      <x:c r="I7" s="62" t="n">
        <x:f>ROUND(I5*I6,0)</x:f>
        <x:v>9118</x:v>
      </x:c>
      <x:c r="J7" s="62" t="n">
        <x:f>ROUND(J5*J6,0)</x:f>
        <x:v>12335</x:v>
      </x:c>
      <x:c r="K7" s="62" t="n">
        <x:f>ROUND(K5*K6,0)</x:f>
        <x:v>16495</x:v>
      </x:c>
      <x:c r="L7" s="62" t="n">
        <x:f>ROUND(L5*L6,0)</x:f>
        <x:v>20123</x:v>
      </x:c>
      <x:c r="M7" s="62" t="n">
        <x:f>ROUND(M5*M6,0)</x:f>
        <x:v>23945</x:v>
      </x:c>
      <x:c r="O7" s="16" t="str">
        <x:v>Доход</x:v>
      </x:c>
      <x:c r="P7" s="26" t="n">
        <x:f>SUM(C15:D15)</x:f>
        <x:v>1485.7894693687501</x:v>
      </x:c>
      <x:c r="Q7" s="26" t="n">
        <x:f>SUM(D15:G15)</x:f>
        <x:v>15022.982412506251</x:v>
      </x:c>
      <x:c r="R7" s="26" t="n">
        <x:f>SUM(B15:M15)</x:f>
        <x:v>367980.52524699375</x:v>
      </x:c>
    </x:row>
    <x:row r="8">
      <x:c r="A8" s="45" t="str">
        <x:v>Activation rate</x:v>
      </x:c>
      <x:c r="B8" s="63" t="n">
        <x:f>MIN(70%,'Исходные данные'!B45*SQRT('Исходные данные'!$G$13))</x:f>
        <x:v>0.28217902119044924</x:v>
      </x:c>
      <x:c r="C8" s="63" t="n">
        <x:f>MIN(70%,'Исходные данные'!C45*SQRT('Исходные данные'!$G$13))</x:f>
        <x:v>0.2902412789387478</x:v>
      </x:c>
      <x:c r="D8" s="63" t="n">
        <x:f>MIN(70%,'Исходные данные'!D45*SQRT('Исходные данные'!$G$13))</x:f>
        <x:v>0.29830353668704634</x:v>
      </x:c>
      <x:c r="E8" s="63" t="n">
        <x:f>MIN(70%,'Исходные данные'!E45*SQRT('Исходные данные'!$G$13))</x:f>
        <x:v>0.3063657944353449</x:v>
      </x:c>
      <x:c r="F8" s="63" t="n">
        <x:f>MIN(70%,'Исходные данные'!F45*SQRT('Исходные данные'!$G$13))</x:f>
        <x:v>0.31442805218364345</x:v>
      </x:c>
      <x:c r="G8" s="63" t="n">
        <x:f>MIN(70%,'Исходные данные'!G45*SQRT('Исходные данные'!$G$13))</x:f>
        <x:v>0.32249030993194205</x:v>
      </x:c>
      <x:c r="H8" s="63" t="n">
        <x:f>MIN(70%,'Исходные данные'!H45*SQRT('Исходные данные'!$G$13))</x:f>
        <x:v>0.33055256768024055</x:v>
      </x:c>
      <x:c r="I8" s="63" t="n">
        <x:f>MIN(70%,'Исходные данные'!I45*SQRT('Исходные данные'!$G$13))</x:f>
        <x:v>0.3386148254285391</x:v>
      </x:c>
      <x:c r="J8" s="63" t="n">
        <x:f>MIN(70%,'Исходные данные'!J45*SQRT('Исходные данные'!$G$13))</x:f>
        <x:v>0.34667708317683765</x:v>
      </x:c>
      <x:c r="K8" s="63" t="n">
        <x:f>MIN(70%,'Исходные данные'!K45*SQRT('Исходные данные'!$G$13))</x:f>
        <x:v>0.3547393409251362</x:v>
      </x:c>
      <x:c r="L8" s="63" t="n">
        <x:f>MIN(70%,'Исходные данные'!L45*SQRT('Исходные данные'!$G$13))</x:f>
        <x:v>0.36280159867343476</x:v>
      </x:c>
      <x:c r="M8" s="63" t="n">
        <x:f>MIN(70%,'Исходные данные'!M45*SQRT('Исходные данные'!$G$13))</x:f>
        <x:v>0.3708638564217333</x:v>
      </x:c>
      <x:c r="O8" s="16" t="str">
        <x:v>Расходы</x:v>
      </x:c>
      <x:c r="P8" s="26" t="n">
        <x:f>SUM(C19:D19)</x:f>
        <x:v>172574.08552446828</x:v>
      </x:c>
      <x:c r="Q8" s="26" t="n">
        <x:f>SUM(D19:G19)</x:f>
        <x:v>545653.4203029568</x:v>
      </x:c>
      <x:c r="R8" s="26" t="n">
        <x:f>SUM(B19:M19)</x:f>
        <x:v>2408723.514893303</x:v>
      </x:c>
    </x:row>
    <x:row r="9">
      <x:c r="A9" s="45" t="str">
        <x:v>Активированные пользователи</x:v>
      </x:c>
      <x:c r="B9" s="62" t="n">
        <x:f>ROUND(B7*B8,0)</x:f>
        <x:v>45</x:v>
      </x:c>
      <x:c r="C9" s="62" t="n">
        <x:f>ROUND(C7*C8,0)</x:f>
        <x:v>97</x:v>
      </x:c>
      <x:c r="D9" s="62" t="n">
        <x:f>ROUND(D7*D8,0)</x:f>
        <x:v>208</x:v>
      </x:c>
      <x:c r="E9" s="62" t="n">
        <x:f>ROUND(E7*E8,0)</x:f>
        <x:v>370</x:v>
      </x:c>
      <x:c r="F9" s="62" t="n">
        <x:f>ROUND(F7*F8,0)</x:f>
        <x:v>712</x:v>
      </x:c>
      <x:c r="G9" s="62" t="n">
        <x:f>ROUND(G7*G8,0)</x:f>
        <x:v>1264</x:v>
      </x:c>
      <x:c r="H9" s="62" t="n">
        <x:f>ROUND(H7*H8,0)</x:f>
        <x:v>2015</x:v>
      </x:c>
      <x:c r="I9" s="62" t="n">
        <x:f>ROUND(I7*I8,0)</x:f>
        <x:v>3087</x:v>
      </x:c>
      <x:c r="J9" s="62" t="n">
        <x:f>ROUND(J7*J8,0)</x:f>
        <x:v>4276</x:v>
      </x:c>
      <x:c r="K9" s="62" t="n">
        <x:f>ROUND(K7*K8,0)</x:f>
        <x:v>5851</x:v>
      </x:c>
      <x:c r="L9" s="62" t="n">
        <x:f>ROUND(L7*L8,0)</x:f>
        <x:v>7301</x:v>
      </x:c>
      <x:c r="M9" s="62" t="n">
        <x:f>ROUND(M7*M8,0)</x:f>
        <x:v>8880</x:v>
      </x:c>
      <x:c r="O9" s="16" t="str">
        <x:v>Прибыль</x:v>
      </x:c>
      <x:c r="P9" s="26" t="n">
        <x:f>SUM(C20:D20)</x:f>
        <x:v>-171088.29605509952</x:v>
      </x:c>
      <x:c r="Q9" s="26" t="n">
        <x:f>SUM(D20:G20)</x:f>
        <x:v>-530630.4378904505</x:v>
      </x:c>
      <x:c r="R9" s="26" t="n">
        <x:f>SUM(B20:M20)</x:f>
        <x:v>-2040742.9896463095</x:v>
      </x:c>
    </x:row>
    <x:row r="10">
      <x:c r="A10" s="45" t="str">
        <x:v>Paid conversion from activated</x:v>
      </x:c>
      <x:c r="B10" s="63" t="n">
        <x:f>MIN(20%,('Исходные данные'!B46+'Исходные данные'!B47+'Исходные данные'!B48)*'Исходные данные'!$G$13)</x:f>
        <x:v>0.013975000000000001</x:v>
      </x:c>
      <x:c r="C10" s="63" t="n">
        <x:f>MIN(20%,('Исходные данные'!C46+'Исходные данные'!C47+'Исходные данные'!C48)*'Исходные данные'!$G$13)</x:f>
        <x:v>0.01599</x:v>
      </x:c>
      <x:c r="D10" s="63" t="n">
        <x:f>MIN(20%,('Исходные данные'!D46+'Исходные данные'!D47+'Исходные данные'!D48)*'Исходные данные'!$G$13)</x:f>
        <x:v>0.018005</x:v>
      </x:c>
      <x:c r="E10" s="63" t="n">
        <x:f>MIN(20%,('Исходные данные'!E46+'Исходные данные'!E47+'Исходные данные'!E48)*'Исходные данные'!$G$13)</x:f>
        <x:v>0.019045</x:v>
      </x:c>
      <x:c r="F10" s="63" t="n">
        <x:f>MIN(20%,('Исходные данные'!F46+'Исходные данные'!F47+'Исходные данные'!F48)*'Исходные данные'!$G$13)</x:f>
        <x:v>0.020085000000000002</x:v>
      </x:c>
      <x:c r="G10" s="63" t="n">
        <x:f>MIN(20%,('Исходные данные'!G46+'Исходные данные'!G47+'Исходные данные'!G48)*'Исходные данные'!$G$13)</x:f>
        <x:v>0.021775000000000003</x:v>
      </x:c>
      <x:c r="H10" s="63" t="n">
        <x:f>MIN(20%,('Исходные данные'!H46+'Исходные данные'!H47+'Исходные данные'!H48)*'Исходные данные'!$G$13)</x:f>
        <x:v>0.022815000000000002</x:v>
      </x:c>
      <x:c r="I10" s="63" t="n">
        <x:f>MIN(20%,('Исходные данные'!I46+'Исходные данные'!I47+'Исходные данные'!I48)*'Исходные данные'!$G$13)</x:f>
        <x:v>0.024505</x:v>
      </x:c>
      <x:c r="J10" s="63" t="n">
        <x:f>MIN(20%,('Исходные данные'!J46+'Исходные данные'!J47+'Исходные данные'!J48)*'Исходные данные'!$G$13)</x:f>
        <x:v>0.025545</x:v>
      </x:c>
      <x:c r="K10" s="63" t="n">
        <x:f>MIN(20%,('Исходные данные'!K46+'Исходные данные'!K47+'Исходные данные'!K48)*'Исходные данные'!$G$13)</x:f>
        <x:v>0.027235000000000002</x:v>
      </x:c>
      <x:c r="L10" s="63" t="n">
        <x:f>MIN(20%,('Исходные данные'!L46+'Исходные данные'!L47+'Исходные данные'!L48)*'Исходные данные'!$G$13)</x:f>
        <x:v>0.028274999999999998</x:v>
      </x:c>
      <x:c r="M10" s="63" t="n">
        <x:f>MIN(20%,('Исходные данные'!M46+'Исходные данные'!M47+'Исходные данные'!M48)*'Исходные данные'!$G$13)</x:f>
        <x:v>0.029314999999999997</x:v>
      </x:c>
      <x:c r="O10" s="16" t="str">
        <x:v>Рентабельность</x:v>
      </x:c>
      <x:c r="P10" s="40" t="n">
        <x:f>IFERROR(P9/P7,0)</x:f>
        <x:v>-115.14975680086613</x:v>
      </x:c>
      <x:c r="Q10" s="40" t="n">
        <x:f>IFERROR(Q9/Q7,0)</x:f>
        <x:v>-35.321244698303985</x:v>
      </x:c>
      <x:c r="R10" s="40" t="n">
        <x:f>IFERROR(R9/R7,0)</x:f>
        <x:v>-5.545790740628282</x:v>
      </x:c>
    </x:row>
    <x:row r="11">
      <x:c r="A11" s="45" t="str">
        <x:v>New paying gross</x:v>
      </x:c>
      <x:c r="B11" s="62" t="n">
        <x:f>ROUND(B9*B10,0)</x:f>
        <x:v>1</x:v>
      </x:c>
      <x:c r="C11" s="62" t="n">
        <x:f>ROUND(C9*C10,0)</x:f>
        <x:v>2</x:v>
      </x:c>
      <x:c r="D11" s="62" t="n">
        <x:f>ROUND(D9*D10,0)</x:f>
        <x:v>4</x:v>
      </x:c>
      <x:c r="E11" s="62" t="n">
        <x:f>ROUND(E9*E10,0)</x:f>
        <x:v>7</x:v>
      </x:c>
      <x:c r="F11" s="62" t="n">
        <x:f>ROUND(F9*F10,0)</x:f>
        <x:v>14</x:v>
      </x:c>
      <x:c r="G11" s="62" t="n">
        <x:f>ROUND(G9*G10,0)</x:f>
        <x:v>28</x:v>
      </x:c>
      <x:c r="H11" s="62" t="n">
        <x:f>ROUND(H9*H10,0)</x:f>
        <x:v>46</x:v>
      </x:c>
      <x:c r="I11" s="62" t="n">
        <x:f>ROUND(I9*I10,0)</x:f>
        <x:v>76</x:v>
      </x:c>
      <x:c r="J11" s="62" t="n">
        <x:f>ROUND(J9*J10,0)</x:f>
        <x:v>109</x:v>
      </x:c>
      <x:c r="K11" s="62" t="n">
        <x:f>ROUND(K9*K10,0)</x:f>
        <x:v>159</x:v>
      </x:c>
      <x:c r="L11" s="62" t="n">
        <x:f>ROUND(L9*L10,0)</x:f>
        <x:v>206</x:v>
      </x:c>
      <x:c r="M11" s="62" t="n">
        <x:f>ROUND(M9*M10,0)</x:f>
        <x:v>260</x:v>
      </x:c>
      <x:c r="O11" s="16" t="str">
        <x:v>Мин. cash gap</x:v>
      </x:c>
      <x:c r="P11" s="26" t="n">
        <x:f>MIN(C23:D23)</x:f>
        <x:v>-230030.77339455503</x:v>
      </x:c>
      <x:c r="Q11" s="26" t="n">
        <x:f>MIN(D23:G23)</x:f>
        <x:v>-665966.3472482725</x:v>
      </x:c>
      <x:c r="R11" s="26" t="n">
        <x:f>MIN(B23:M23)</x:f>
        <x:v>-2040742.9896463095</x:v>
      </x:c>
    </x:row>
    <x:row r="12">
      <x:c r="A12" s="45" t="str">
        <x:v>Blended churn</x:v>
      </x:c>
      <x:c r="B12" s="63" t="n">
        <x:f>MIN(35%,AVERAGE('Исходные данные'!B51:B53)*'Исходные данные'!$G$14)</x:f>
        <x:v>0.198</x:v>
      </x:c>
      <x:c r="C12" s="63" t="n">
        <x:f>MIN(35%,AVERAGE('Исходные данные'!C51:C53)*'Исходные данные'!$G$14)</x:f>
        <x:v>0.18450000000000003</x:v>
      </x:c>
      <x:c r="D12" s="63" t="n">
        <x:f>MIN(35%,AVERAGE('Исходные данные'!D51:D53)*'Исходные данные'!$G$14)</x:f>
        <x:v>0.171</x:v>
      </x:c>
      <x:c r="E12" s="63" t="n">
        <x:f>MIN(35%,AVERAGE('Исходные данные'!E51:E53)*'Исходные данные'!$G$14)</x:f>
        <x:v>0.1665</x:v>
      </x:c>
      <x:c r="F12" s="63" t="n">
        <x:f>MIN(35%,AVERAGE('Исходные данные'!F51:F53)*'Исходные данные'!$G$14)</x:f>
        <x:v>0.153</x:v>
      </x:c>
      <x:c r="G12" s="63" t="n">
        <x:f>MIN(35%,AVERAGE('Исходные данные'!G51:G53)*'Исходные данные'!$G$14)</x:f>
        <x:v>0.1395</x:v>
      </x:c>
      <x:c r="H12" s="63" t="n">
        <x:f>MIN(35%,AVERAGE('Исходные данные'!H51:H53)*'Исходные данные'!$G$14)</x:f>
        <x:v>0.135</x:v>
      </x:c>
      <x:c r="I12" s="63" t="n">
        <x:f>MIN(35%,AVERAGE('Исходные данные'!I51:I53)*'Исходные данные'!$G$14)</x:f>
        <x:v>0.126</x:v>
      </x:c>
      <x:c r="J12" s="63" t="n">
        <x:f>MIN(35%,AVERAGE('Исходные данные'!J51:J53)*'Исходные данные'!$G$14)</x:f>
        <x:v>0.12150000000000002</x:v>
      </x:c>
      <x:c r="K12" s="63" t="n">
        <x:f>MIN(35%,AVERAGE('Исходные данные'!K51:K53)*'Исходные данные'!$G$14)</x:f>
        <x:v>0.12150000000000002</x:v>
      </x:c>
      <x:c r="L12" s="63" t="n">
        <x:f>MIN(35%,AVERAGE('Исходные данные'!L51:L53)*'Исходные данные'!$G$14)</x:f>
        <x:v>0.10800000000000001</x:v>
      </x:c>
      <x:c r="M12" s="63" t="n">
        <x:f>MIN(35%,AVERAGE('Исходные данные'!M51:M53)*'Исходные данные'!$G$14)</x:f>
        <x:v>0.10800000000000001</x:v>
      </x:c>
      <x:c r="O12" s="16" t="str">
        <x:v>Вывод</x:v>
      </x:c>
      <x:c r="P12" s="16" t="str">
        <x:f>IF(P9&gt;0,"положительная динамика","требуется доработка воронки")</x:f>
        <x:v>требуется доработка воронки</x:v>
      </x:c>
      <x:c r="Q12" s="16" t="str">
        <x:f>IF(Q9&gt;0,"можно масштабировать","нужны ручные продажи и retention")</x:f>
        <x:v>нужны ручные продажи и retention</x:v>
      </x:c>
      <x:c r="R12" s="16" t="str">
        <x:f>IF(R9&gt;0,"инвест-привлекательно","нужен грант/финансирование для разгона")</x:f>
        <x:v>нужен грант/финансирование для разгона</x:v>
      </x:c>
    </x:row>
    <x:row r="13">
      <x:c r="A13" s="45" t="str">
        <x:v>Paying clients EOM</x:v>
      </x:c>
      <x:c r="B13" s="62" t="n">
        <x:f>B11</x:f>
        <x:v>1</x:v>
      </x:c>
      <x:c r="C13" s="62" t="n">
        <x:f>ROUND(B13*(1-C12)+C11,0)</x:f>
        <x:v>3</x:v>
      </x:c>
      <x:c r="D13" s="62" t="n">
        <x:f>ROUND(C13*(1-D12)+D11,0)</x:f>
        <x:v>6</x:v>
      </x:c>
      <x:c r="E13" s="62" t="n">
        <x:f>ROUND(D13*(1-E12)+E11,0)</x:f>
        <x:v>12</x:v>
      </x:c>
      <x:c r="F13" s="62" t="n">
        <x:f>ROUND(E13*(1-F12)+F11,0)</x:f>
        <x:v>24</x:v>
      </x:c>
      <x:c r="G13" s="62" t="n">
        <x:f>ROUND(F13*(1-G12)+G11,0)</x:f>
        <x:v>49</x:v>
      </x:c>
      <x:c r="H13" s="62" t="n">
        <x:f>ROUND(G13*(1-H12)+H11,0)</x:f>
        <x:v>88</x:v>
      </x:c>
      <x:c r="I13" s="62" t="n">
        <x:f>ROUND(H13*(1-I12)+I11,0)</x:f>
        <x:v>153</x:v>
      </x:c>
      <x:c r="J13" s="62" t="n">
        <x:f>ROUND(I13*(1-J12)+J11,0)</x:f>
        <x:v>243</x:v>
      </x:c>
      <x:c r="K13" s="62" t="n">
        <x:f>ROUND(J13*(1-K12)+K11,0)</x:f>
        <x:v>372</x:v>
      </x:c>
      <x:c r="L13" s="62" t="n">
        <x:f>ROUND(K13*(1-L12)+L11,0)</x:f>
        <x:v>538</x:v>
      </x:c>
      <x:c r="M13" s="62" t="n">
        <x:f>ROUND(L13*(1-M12)+M11,0)</x:f>
        <x:v>740</x:v>
      </x:c>
    </x:row>
    <x:row r="14">
      <x:c r="A14" s="45" t="str">
        <x:v>ARPU</x:v>
      </x:c>
      <x:c r="B14" s="54" t="n">
        <x:f>(('Исходные данные'!$H$6*45%)+('Исходные данные'!$H$7*45%)+('Исходные данные'!$H$8*10%))*(1+'Исходные данные'!$B$26)*'Исходные данные'!$G$16</x:f>
        <x:v>165.08771881875</x:v>
      </x:c>
      <x:c r="C14" s="54" t="n">
        <x:f>(('Исходные данные'!$H$6*45%)+('Исходные данные'!$H$7*45%)+('Исходные данные'!$H$8*10%))*(1+'Исходные данные'!$B$26)*'Исходные данные'!$G$16</x:f>
        <x:v>165.08771881875</x:v>
      </x:c>
      <x:c r="D14" s="54" t="n">
        <x:f>(('Исходные данные'!$H$6*45%)+('Исходные данные'!$H$7*45%)+('Исходные данные'!$H$8*10%))*(1+'Исходные данные'!$B$26)*'Исходные данные'!$G$16</x:f>
        <x:v>165.08771881875</x:v>
      </x:c>
      <x:c r="E14" s="54" t="n">
        <x:f>(('Исходные данные'!$H$6*45%)+('Исходные данные'!$H$7*45%)+('Исходные данные'!$H$8*10%))*(1+'Исходные данные'!$B$26)*'Исходные данные'!$G$16</x:f>
        <x:v>165.08771881875</x:v>
      </x:c>
      <x:c r="F14" s="54" t="n">
        <x:f>(('Исходные данные'!$H$6*45%)+('Исходные данные'!$H$7*45%)+('Исходные данные'!$H$8*10%))*(1+'Исходные данные'!$B$26)*'Исходные данные'!$G$16</x:f>
        <x:v>165.08771881875</x:v>
      </x:c>
      <x:c r="G14" s="54" t="n">
        <x:f>(('Исходные данные'!$H$6*45%)+('Исходные данные'!$H$7*45%)+('Исходные данные'!$H$8*10%))*(1+'Исходные данные'!$B$26)*'Исходные данные'!$G$16</x:f>
        <x:v>165.08771881875</x:v>
      </x:c>
      <x:c r="H14" s="54" t="n">
        <x:f>(('Исходные данные'!$H$6*45%)+('Исходные данные'!$H$7*45%)+('Исходные данные'!$H$8*10%))*(1+'Исходные данные'!$B$26)*'Исходные данные'!$G$16</x:f>
        <x:v>165.08771881875</x:v>
      </x:c>
      <x:c r="I14" s="54" t="n">
        <x:f>(('Исходные данные'!$H$6*45%)+('Исходные данные'!$H$7*45%)+('Исходные данные'!$H$8*10%))*(1+'Исходные данные'!$B$26)*'Исходные данные'!$G$16</x:f>
        <x:v>165.08771881875</x:v>
      </x:c>
      <x:c r="J14" s="54" t="n">
        <x:f>(('Исходные данные'!$H$6*45%)+('Исходные данные'!$H$7*45%)+('Исходные данные'!$H$8*10%))*(1+'Исходные данные'!$B$26)*'Исходные данные'!$G$16</x:f>
        <x:v>165.08771881875</x:v>
      </x:c>
      <x:c r="K14" s="54" t="n">
        <x:f>(('Исходные данные'!$H$6*45%)+('Исходные данные'!$H$7*45%)+('Исходные данные'!$H$8*10%))*(1+'Исходные данные'!$B$26)*'Исходные данные'!$G$16</x:f>
        <x:v>165.08771881875</x:v>
      </x:c>
      <x:c r="L14" s="54" t="n">
        <x:f>(('Исходные данные'!$H$6*45%)+('Исходные данные'!$H$7*45%)+('Исходные данные'!$H$8*10%))*(1+'Исходные данные'!$B$26)*'Исходные данные'!$G$16</x:f>
        <x:v>165.08771881875</x:v>
      </x:c>
      <x:c r="M14" s="54" t="n">
        <x:f>(('Исходные данные'!$H$6*45%)+('Исходные данные'!$H$7*45%)+('Исходные данные'!$H$8*10%))*(1+'Исходные данные'!$B$26)*'Исходные данные'!$G$16</x:f>
        <x:v>165.08771881875</x:v>
      </x:c>
    </x:row>
    <x:row r="15">
      <x:c r="A15" s="45" t="str">
        <x:v>Revenue</x:v>
      </x:c>
      <x:c r="B15" s="54" t="n">
        <x:f>B13*B14</x:f>
        <x:v>165.08771881875</x:v>
      </x:c>
      <x:c r="C15" s="54" t="n">
        <x:f>C13*C14</x:f>
        <x:v>495.26315645625004</x:v>
      </x:c>
      <x:c r="D15" s="54" t="n">
        <x:f>D13*D14</x:f>
        <x:v>990.5263129125001</x:v>
      </x:c>
      <x:c r="E15" s="54" t="n">
        <x:f>E13*E14</x:f>
        <x:v>1981.0526258250002</x:v>
      </x:c>
      <x:c r="F15" s="54" t="n">
        <x:f>F13*F14</x:f>
        <x:v>3962.1052516500004</x:v>
      </x:c>
      <x:c r="G15" s="54" t="n">
        <x:f>G13*G14</x:f>
        <x:v>8089.29822211875</x:v>
      </x:c>
      <x:c r="H15" s="54" t="n">
        <x:f>H13*H14</x:f>
        <x:v>14527.71925605</x:v>
      </x:c>
      <x:c r="I15" s="54" t="n">
        <x:f>I13*I14</x:f>
        <x:v>25258.42097926875</x:v>
      </x:c>
      <x:c r="J15" s="54" t="n">
        <x:f>J13*J14</x:f>
        <x:v>40116.315672956254</x:v>
      </x:c>
      <x:c r="K15" s="54" t="n">
        <x:f>K13*K14</x:f>
        <x:v>61412.631400575</x:v>
      </x:c>
      <x:c r="L15" s="54" t="n">
        <x:f>L13*L14</x:f>
        <x:v>88817.1927244875</x:v>
      </x:c>
      <x:c r="M15" s="54" t="n">
        <x:f>M13*M14</x:f>
        <x:v>122164.911925875</x:v>
      </x:c>
    </x:row>
    <x:row r="16">
      <x:c r="A16" s="45" t="str">
        <x:v>Variable costs</x:v>
      </x:c>
      <x:c r="B16" s="54" t="n">
        <x:f>(B13*((45%*'Исходные данные'!$I$6+45%*'Исходные данные'!$I$7+10%*'Исходные данные'!$I$8)*'Исходные данные'!$B$14+'Исходные данные'!$B$19+'Исходные данные'!$B$20))+B15*'Исходные данные'!$B$25</x:f>
        <x:v>42.659795145125</x:v>
      </x:c>
      <x:c r="C16" s="54" t="n">
        <x:f>(C13*((45%*'Исходные данные'!$I$6+45%*'Исходные данные'!$I$7+10%*'Исходные данные'!$I$8)*'Исходные данные'!$B$14+'Исходные данные'!$B$19+'Исходные данные'!$B$20))+C15*'Исходные данные'!$B$25</x:f>
        <x:v>127.97938543537501</x:v>
      </x:c>
      <x:c r="D16" s="54" t="n">
        <x:f>(D13*((45%*'Исходные данные'!$I$6+45%*'Исходные данные'!$I$7+10%*'Исходные данные'!$I$8)*'Исходные данные'!$B$14+'Исходные данные'!$B$19+'Исходные данные'!$B$20))+D15*'Исходные данные'!$B$25</x:f>
        <x:v>255.95877087075002</x:v>
      </x:c>
      <x:c r="E16" s="54" t="n">
        <x:f>(E13*((45%*'Исходные данные'!$I$6+45%*'Исходные данные'!$I$7+10%*'Исходные данные'!$I$8)*'Исходные данные'!$B$14+'Исходные данные'!$B$19+'Исходные данные'!$B$20))+E15*'Исходные данные'!$B$25</x:f>
        <x:v>511.91754174150003</x:v>
      </x:c>
      <x:c r="F16" s="54" t="n">
        <x:f>(F13*((45%*'Исходные данные'!$I$6+45%*'Исходные данные'!$I$7+10%*'Исходные данные'!$I$8)*'Исходные данные'!$B$14+'Исходные данные'!$B$19+'Исходные данные'!$B$20))+F15*'Исходные данные'!$B$25</x:f>
        <x:v>1023.8350834830001</x:v>
      </x:c>
      <x:c r="G16" s="54" t="n">
        <x:f>(G13*((45%*'Исходные данные'!$I$6+45%*'Исходные данные'!$I$7+10%*'Исходные данные'!$I$8)*'Исходные данные'!$B$14+'Исходные данные'!$B$19+'Исходные данные'!$B$20))+G15*'Исходные данные'!$B$25</x:f>
        <x:v>2090.329962111125</x:v>
      </x:c>
      <x:c r="H16" s="54" t="n">
        <x:f>(H13*((45%*'Исходные данные'!$I$6+45%*'Исходные данные'!$I$7+10%*'Исходные данные'!$I$8)*'Исходные данные'!$B$14+'Исходные данные'!$B$19+'Исходные данные'!$B$20))+H15*'Исходные данные'!$B$25</x:f>
        <x:v>3754.061972771</x:v>
      </x:c>
      <x:c r="I16" s="54" t="n">
        <x:f>(I13*((45%*'Исходные данные'!$I$6+45%*'Исходные данные'!$I$7+10%*'Исходные данные'!$I$8)*'Исходные данные'!$B$14+'Исходные данные'!$B$19+'Исходные данные'!$B$20))+I15*'Исходные данные'!$B$25</x:f>
        <x:v>6526.948657204125</x:v>
      </x:c>
      <x:c r="J16" s="54" t="n">
        <x:f>(J13*((45%*'Исходные данные'!$I$6+45%*'Исходные данные'!$I$7+10%*'Исходные данные'!$I$8)*'Исходные данные'!$B$14+'Исходные данные'!$B$19+'Исходные данные'!$B$20))+J15*'Исходные данные'!$B$25</x:f>
        <x:v>10366.330220265376</x:v>
      </x:c>
      <x:c r="K16" s="54" t="n">
        <x:f>(K13*((45%*'Исходные данные'!$I$6+45%*'Исходные данные'!$I$7+10%*'Исходные данные'!$I$8)*'Исходные данные'!$B$14+'Исходные данные'!$B$19+'Исходные данные'!$B$20))+K15*'Исходные данные'!$B$25</x:f>
        <x:v>15869.4437939865</x:v>
      </x:c>
      <x:c r="L16" s="54" t="n">
        <x:f>(L13*((45%*'Исходные данные'!$I$6+45%*'Исходные данные'!$I$7+10%*'Исходные данные'!$I$8)*'Исходные данные'!$B$14+'Исходные данные'!$B$19+'Исходные данные'!$B$20))+L15*'Исходные данные'!$B$25</x:f>
        <x:v>22950.96978807725</x:v>
      </x:c>
      <x:c r="M16" s="54" t="n">
        <x:f>(M13*((45%*'Исходные данные'!$I$6+45%*'Исходные данные'!$I$7+10%*'Исходные данные'!$I$8)*'Исходные данные'!$B$14+'Исходные данные'!$B$19+'Исходные данные'!$B$20))+M15*'Исходные данные'!$B$25</x:f>
        <x:v>31568.2484073925</x:v>
      </x:c>
    </x:row>
    <x:row r="17">
      <x:c r="A17" s="45" t="str">
        <x:v>Fixed + marketing costs</x:v>
      </x:c>
      <x:c r="B17" s="54" t="n">
        <x:f>'Исходные данные'!B54*'Исходные данные'!$G$15+('Исходные данные'!B55+'Исходные данные'!B56+'Исходные данные'!B57+'Исходные данные'!$B$21+'Исходные данные'!$B$23*'Исходные данные'!B58+'Исходные данные'!$B$22*'Исходные данные'!B59)*'Исходные данные'!$G$17</x:f>
        <x:v>59055</x:v>
      </x:c>
      <x:c r="C17" s="54" t="n">
        <x:f>'Исходные данные'!C54*'Исходные данные'!$G$15+('Исходные данные'!C55+'Исходные данные'!C56+'Исходные данные'!C57+'Исходные данные'!$B$21+'Исходные данные'!$B$23*'Исходные данные'!C58+'Исходные данные'!$B$22*'Исходные данные'!C59)*'Исходные данные'!$G$17</x:f>
        <x:v>76731</x:v>
      </x:c>
      <x:c r="D17" s="54" t="n">
        <x:f>'Исходные данные'!D54*'Исходные данные'!$G$15+('Исходные данные'!D55+'Исходные данные'!D56+'Исходные данные'!D57+'Исходные данные'!$B$21+'Исходные данные'!$B$23*'Исходные данные'!D58+'Исходные данные'!$B$22*'Исходные данные'!D59)*'Исходные данные'!$G$17</x:f>
        <x:v>95370</x:v>
      </x:c>
      <x:c r="E17" s="54" t="n">
        <x:f>'Исходные данные'!E54*'Исходные данные'!$G$15+('Исходные данные'!E55+'Исходные данные'!E56+'Исходные данные'!E57+'Исходные данные'!$B$21+'Исходные данные'!$B$23*'Исходные данные'!E58+'Исходные данные'!$B$22*'Исходные данные'!E59)*'Исходные данные'!$G$17</x:f>
        <x:v>122835</x:v>
      </x:c>
      <x:c r="F17" s="54" t="n">
        <x:f>'Исходные данные'!F54*'Исходные данные'!$G$15+('Исходные данные'!F55+'Исходные данные'!F56+'Исходные данные'!F57+'Исходные данные'!$B$21+'Исходные данные'!$B$23*'Исходные данные'!F58+'Исходные данные'!$B$22*'Исходные данные'!F59)*'Исходные данные'!$G$17</x:f>
        <x:v>147150</x:v>
      </x:c>
      <x:c r="G17" s="54" t="n">
        <x:f>'Исходные данные'!G54*'Исходные данные'!$G$15+('Исходные данные'!G55+'Исходные данные'!G56+'Исходные данные'!G57+'Исходные данные'!$B$21+'Исходные данные'!$B$23*'Исходные данные'!G58+'Исходные данные'!$B$22*'Исходные данные'!G59)*'Исходные данные'!$G$17</x:f>
        <x:v>175515</x:v>
      </x:c>
      <x:c r="H17" s="54" t="n">
        <x:f>'Исходные данные'!H54*'Исходные данные'!$G$15+('Исходные данные'!H55+'Исходные данные'!H56+'Исходные данные'!H57+'Исходные данные'!$B$21+'Исходные данные'!$B$23*'Исходные данные'!H58+'Исходные данные'!$B$22*'Исходные данные'!H59)*'Исходные данные'!$G$17</x:f>
        <x:v>201495</x:v>
      </x:c>
      <x:c r="I17" s="54" t="n">
        <x:f>'Исходные данные'!I54*'Исходные данные'!$G$15+('Исходные данные'!I55+'Исходные данные'!I56+'Исходные данные'!I57+'Исходные данные'!$B$21+'Исходные данные'!$B$23*'Исходные данные'!I58+'Исходные данные'!$B$22*'Исходные данные'!I59)*'Исходные данные'!$G$17</x:f>
        <x:v>229275</x:v>
      </x:c>
      <x:c r="J17" s="54" t="n">
        <x:f>'Исходные данные'!J54*'Исходные данные'!$G$15+('Исходные данные'!J55+'Исходные данные'!J56+'Исходные данные'!J57+'Исходные данные'!$B$21+'Исходные данные'!$B$23*'Исходные данные'!J58+'Исходные данные'!$B$22*'Исходные данные'!J59)*'Исходные данные'!$G$17</x:f>
        <x:v>255255</x:v>
      </x:c>
      <x:c r="K17" s="54" t="n">
        <x:f>'Исходные данные'!K54*'Исходные данные'!$G$15+('Исходные данные'!K55+'Исходные данные'!K56+'Исходные данные'!K57+'Исходные данные'!$B$21+'Исходные данные'!$B$23*'Исходные данные'!K58+'Исходные данные'!$B$22*'Исходные данные'!K59)*'Исходные данные'!$G$17</x:f>
        <x:v>279435</x:v>
      </x:c>
      <x:c r="L17" s="54" t="n">
        <x:f>'Исходные данные'!L54*'Исходные данные'!$G$15+('Исходные данные'!L55+'Исходные данные'!L56+'Исходные данные'!L57+'Исходные данные'!$B$21+'Исходные данные'!$B$23*'Исходные данные'!L58+'Исходные данные'!$B$22*'Исходные данные'!L59)*'Исходные данные'!$G$17</x:f>
        <x:v>305415</x:v>
      </x:c>
      <x:c r="M17" s="54" t="n">
        <x:f>'Исходные данные'!M54*'Исходные данные'!$G$15+('Исходные данные'!M55+'Исходные данные'!M56+'Исходные данные'!M57+'Исходные данные'!$B$21+'Исходные данные'!$B$23*'Исходные данные'!M58+'Исходные данные'!$B$22*'Исходные данные'!M59)*'Исходные данные'!$G$17</x:f>
        <x:v>344025</x:v>
      </x:c>
    </x:row>
    <x:row r="18">
      <x:c r="A18" s="45" t="str">
        <x:v>Taxes</x:v>
      </x:c>
      <x:c r="B18" s="54" t="n">
        <x:f>B15*'Исходные данные'!$B$24</x:f>
        <x:v>9.905263129125</x:v>
      </x:c>
      <x:c r="C18" s="54" t="n">
        <x:f>C15*'Исходные данные'!$B$24</x:f>
        <x:v>29.715789387375</x:v>
      </x:c>
      <x:c r="D18" s="54" t="n">
        <x:f>D15*'Исходные данные'!$B$24</x:f>
        <x:v>59.43157877475</x:v>
      </x:c>
      <x:c r="E18" s="54" t="n">
        <x:f>E15*'Исходные данные'!$B$24</x:f>
        <x:v>118.8631575495</x:v>
      </x:c>
      <x:c r="F18" s="54" t="n">
        <x:f>F15*'Исходные данные'!$B$24</x:f>
        <x:v>237.726315099</x:v>
      </x:c>
      <x:c r="G18" s="54" t="n">
        <x:f>G15*'Исходные данные'!$B$24</x:f>
        <x:v>485.357893327125</x:v>
      </x:c>
      <x:c r="H18" s="54" t="n">
        <x:f>H15*'Исходные данные'!$B$24</x:f>
        <x:v>871.663155363</x:v>
      </x:c>
      <x:c r="I18" s="54" t="n">
        <x:f>I15*'Исходные данные'!$B$24</x:f>
        <x:v>1515.505258756125</x:v>
      </x:c>
      <x:c r="J18" s="54" t="n">
        <x:f>J15*'Исходные данные'!$B$24</x:f>
        <x:v>2406.9789403773752</x:v>
      </x:c>
      <x:c r="K18" s="54" t="n">
        <x:f>K15*'Исходные данные'!$B$24</x:f>
        <x:v>3684.7578840345</x:v>
      </x:c>
      <x:c r="L18" s="54" t="n">
        <x:f>L15*'Исходные данные'!$B$24</x:f>
        <x:v>5329.03156346925</x:v>
      </x:c>
      <x:c r="M18" s="54" t="n">
        <x:f>M15*'Исходные данные'!$B$24</x:f>
        <x:v>7329.894715552499</x:v>
      </x:c>
    </x:row>
    <x:row r="19">
      <x:c r="A19" s="45" t="str">
        <x:v>Total Expenses</x:v>
      </x:c>
      <x:c r="B19" s="54" t="n">
        <x:f>B16+B17+B18</x:f>
        <x:v>59107.56505827425</x:v>
      </x:c>
      <x:c r="C19" s="54" t="n">
        <x:f>C16+C17+C18</x:f>
        <x:v>76888.69517482276</x:v>
      </x:c>
      <x:c r="D19" s="54" t="n">
        <x:f>D16+D17+D18</x:f>
        <x:v>95685.3903496455</x:v>
      </x:c>
      <x:c r="E19" s="54" t="n">
        <x:f>E16+E17+E18</x:f>
        <x:v>123465.78069929099</x:v>
      </x:c>
      <x:c r="F19" s="54" t="n">
        <x:f>F16+F17+F18</x:f>
        <x:v>148411.56139858198</x:v>
      </x:c>
      <x:c r="G19" s="54" t="n">
        <x:f>G16+G17+G18</x:f>
        <x:v>178090.68785543827</x:v>
      </x:c>
      <x:c r="H19" s="54" t="n">
        <x:f>H16+H17+H18</x:f>
        <x:v>206120.725128134</x:v>
      </x:c>
      <x:c r="I19" s="54" t="n">
        <x:f>I16+I17+I18</x:f>
        <x:v>237317.45391596027</x:v>
      </x:c>
      <x:c r="J19" s="54" t="n">
        <x:f>J16+J17+J18</x:f>
        <x:v>268028.30916064273</x:v>
      </x:c>
      <x:c r="K19" s="54" t="n">
        <x:f>K16+K17+K18</x:f>
        <x:v>298989.201678021</x:v>
      </x:c>
      <x:c r="L19" s="54" t="n">
        <x:f>L16+L17+L18</x:f>
        <x:v>333695.0013515465</x:v>
      </x:c>
      <x:c r="M19" s="54" t="n">
        <x:f>M16+M17+M18</x:f>
        <x:v>382923.14312294504</x:v>
      </x:c>
    </x:row>
    <x:row r="20">
      <x:c r="A20" s="45" t="str">
        <x:v>Net Profit</x:v>
      </x:c>
      <x:c r="B20" s="54" t="n">
        <x:f>B15-B19</x:f>
        <x:v>-58942.4773394555</x:v>
      </x:c>
      <x:c r="C20" s="54" t="n">
        <x:f>C15-C19</x:f>
        <x:v>-76393.43201836651</x:v>
      </x:c>
      <x:c r="D20" s="54" t="n">
        <x:f>D15-D19</x:f>
        <x:v>-94694.86403673301</x:v>
      </x:c>
      <x:c r="E20" s="54" t="n">
        <x:f>E15-E19</x:f>
        <x:v>-121484.72807346599</x:v>
      </x:c>
      <x:c r="F20" s="54" t="n">
        <x:f>F15-F19</x:f>
        <x:v>-144449.45614693197</x:v>
      </x:c>
      <x:c r="G20" s="54" t="n">
        <x:f>G15-G19</x:f>
        <x:v>-170001.38963331952</x:v>
      </x:c>
      <x:c r="H20" s="54" t="n">
        <x:f>H15-H19</x:f>
        <x:v>-191593.005872084</x:v>
      </x:c>
      <x:c r="I20" s="54" t="n">
        <x:f>I15-I19</x:f>
        <x:v>-212059.0329366915</x:v>
      </x:c>
      <x:c r="J20" s="54" t="n">
        <x:f>J15-J19</x:f>
        <x:v>-227911.99348768647</x:v>
      </x:c>
      <x:c r="K20" s="54" t="n">
        <x:f>K15-K19</x:f>
        <x:v>-237576.570277446</x:v>
      </x:c>
      <x:c r="L20" s="54" t="n">
        <x:f>L15-L19</x:f>
        <x:v>-244877.80862705898</x:v>
      </x:c>
      <x:c r="M20" s="54" t="n">
        <x:f>M15-M19</x:f>
        <x:v>-260758.23119707004</x:v>
      </x:c>
    </x:row>
    <x:row r="21">
      <x:c r="A21" s="45" t="str">
        <x:v>Profitability</x:v>
      </x:c>
      <x:c r="B21" s="63" t="n">
        <x:f>IFERROR(B20/B15,0)</x:f>
        <x:v>-357.03732392212964</x:v>
      </x:c>
      <x:c r="C21" s="63" t="n">
        <x:f>IFERROR(C20/C15,0)</x:f>
        <x:v>-154.2481628655429</x:v>
      </x:c>
      <x:c r="D21" s="63" t="n">
        <x:f>IFERROR(D20/D15,0)</x:f>
        <x:v>-95.60055376852775</x:v>
      </x:c>
      <x:c r="E21" s="63" t="n">
        <x:f>IFERROR(E20/E15,0)</x:f>
        <x:v>-61.32332200053203</x:v>
      </x:c>
      <x:c r="F21" s="63" t="n">
        <x:f>IFERROR(F20/F15,0)</x:f>
        <x:v>-36.457753384208225</x:v>
      </x:c>
      <x:c r="G21" s="63" t="n">
        <x:f>IFERROR(G20/G15,0)</x:f>
        <x:v>-21.015591830757444</x:v>
      </x:c>
      <x:c r="H21" s="63" t="n">
        <x:f>IFERROR(H20/H15,0)</x:f>
        <x:v>-13.188099418447669</x:v>
      </x:c>
      <x:c r="I21" s="63" t="n">
        <x:f>IFERROR(I20/I15,0)</x:f>
        <x:v>-8.395577582254344</x:v>
      </x:c>
      <x:c r="J21" s="63" t="n">
        <x:f>IFERROR(J20/J15,0)</x:f>
        <x:v>-5.681279291590816</x:v>
      </x:c>
      <x:c r="K21" s="63" t="n">
        <x:f>IFERROR(K20/K15,0)</x:f>
        <x:v>-3.8685294028163333</x:v>
      </x:c>
      <x:c r="L21" s="63" t="n">
        <x:f>IFERROR(L20/L15,0)</x:f>
        <x:v>-2.757099173204835</x:v>
      </x:c>
      <x:c r="M21" s="63" t="n">
        <x:f>IFERROR(M20/M15,0)</x:f>
        <x:v>-2.1344772986476523</x:v>
      </x:c>
    </x:row>
    <x:row r="22">
      <x:c r="A22" s="45" t="str">
        <x:v>Cumulative Profit</x:v>
      </x:c>
      <x:c r="B22" s="54" t="n">
        <x:f>B20</x:f>
        <x:v>-58942.4773394555</x:v>
      </x:c>
      <x:c r="C22" s="54" t="n">
        <x:f>B22+C20</x:f>
        <x:v>-135335.909357822</x:v>
      </x:c>
      <x:c r="D22" s="54" t="n">
        <x:f>C22+D20</x:f>
        <x:v>-230030.77339455503</x:v>
      </x:c>
      <x:c r="E22" s="54" t="n">
        <x:f>D22+E20</x:f>
        <x:v>-351515.501468021</x:v>
      </x:c>
      <x:c r="F22" s="54" t="n">
        <x:f>E22+F20</x:f>
        <x:v>-495964.957614953</x:v>
      </x:c>
      <x:c r="G22" s="54" t="n">
        <x:f>F22+G20</x:f>
        <x:v>-665966.3472482725</x:v>
      </x:c>
      <x:c r="H22" s="54" t="n">
        <x:f>G22+H20</x:f>
        <x:v>-857559.3531203566</x:v>
      </x:c>
      <x:c r="I22" s="54" t="n">
        <x:f>H22+I20</x:f>
        <x:v>-1069618.386057048</x:v>
      </x:c>
      <x:c r="J22" s="54" t="n">
        <x:f>I22+J20</x:f>
        <x:v>-1297530.3795447345</x:v>
      </x:c>
      <x:c r="K22" s="54" t="n">
        <x:f>J22+K20</x:f>
        <x:v>-1535106.9498221804</x:v>
      </x:c>
      <x:c r="L22" s="54" t="n">
        <x:f>K22+L20</x:f>
        <x:v>-1779984.7584492394</x:v>
      </x:c>
      <x:c r="M22" s="54" t="n">
        <x:f>L22+M20</x:f>
        <x:v>-2040742.9896463095</x:v>
      </x:c>
    </x:row>
    <x:row r="23">
      <x:c r="A23" s="45" t="str">
        <x:v>Cash need / min cumulative</x:v>
      </x:c>
      <x:c r="B23" s="54" t="n">
        <x:f>MIN(0,MIN($B$22:B22))</x:f>
        <x:v>-58942.4773394555</x:v>
      </x:c>
      <x:c r="C23" s="54" t="n">
        <x:f>MIN(0,MIN($B$22:C22))</x:f>
        <x:v>-135335.909357822</x:v>
      </x:c>
      <x:c r="D23" s="54" t="n">
        <x:f>MIN(0,MIN($B$22:D22))</x:f>
        <x:v>-230030.77339455503</x:v>
      </x:c>
      <x:c r="E23" s="54" t="n">
        <x:f>MIN(0,MIN($B$22:E22))</x:f>
        <x:v>-351515.501468021</x:v>
      </x:c>
      <x:c r="F23" s="54" t="n">
        <x:f>MIN(0,MIN($B$22:F22))</x:f>
        <x:v>-495964.957614953</x:v>
      </x:c>
      <x:c r="G23" s="54" t="n">
        <x:f>MIN(0,MIN($B$22:G22))</x:f>
        <x:v>-665966.3472482725</x:v>
      </x:c>
      <x:c r="H23" s="54" t="n">
        <x:f>MIN(0,MIN($B$22:H22))</x:f>
        <x:v>-857559.3531203566</x:v>
      </x:c>
      <x:c r="I23" s="54" t="n">
        <x:f>MIN(0,MIN($B$22:I22))</x:f>
        <x:v>-1069618.386057048</x:v>
      </x:c>
      <x:c r="J23" s="54" t="n">
        <x:f>MIN(0,MIN($B$22:J22))</x:f>
        <x:v>-1297530.3795447345</x:v>
      </x:c>
      <x:c r="K23" s="54" t="n">
        <x:f>MIN(0,MIN($B$22:K22))</x:f>
        <x:v>-1535106.9498221804</x:v>
      </x:c>
      <x:c r="L23" s="54" t="n">
        <x:f>MIN(0,MIN($B$22:L22))</x:f>
        <x:v>-1779984.7584492394</x:v>
      </x:c>
      <x:c r="M23" s="54" t="n">
        <x:f>MIN(0,MIN($B$22:M22))</x:f>
        <x:v>-2040742.9896463095</x:v>
      </x:c>
    </x:row>
    <x:row r="24">
      <x:c r="A24" s="42"/>
      <x:c r="B24" s="42"/>
      <x:c r="C24" s="42"/>
      <x:c r="D24" s="42"/>
      <x:c r="E24" s="42"/>
      <x:c r="F24" s="42"/>
      <x:c r="G24" s="42"/>
      <x:c r="H24" s="42"/>
      <x:c r="I24" s="42"/>
      <x:c r="J24" s="42"/>
      <x:c r="K24" s="42"/>
      <x:c r="L24" s="42"/>
      <x:c r="M24" s="42"/>
    </x:row>
    <x:row r="25">
      <x:c r="A25" s="42"/>
      <x:c r="B25" s="42"/>
      <x:c r="C25" s="42"/>
      <x:c r="D25" s="42"/>
      <x:c r="E25" s="42"/>
      <x:c r="F25" s="42"/>
      <x:c r="G25" s="42"/>
      <x:c r="H25" s="42"/>
      <x:c r="I25" s="42"/>
      <x:c r="J25" s="42"/>
      <x:c r="K25" s="42"/>
      <x:c r="L25" s="42"/>
      <x:c r="M25" s="42"/>
    </x:row>
    <x:row r="26">
      <x:c r="A26" s="42"/>
      <x:c r="B26" s="42"/>
      <x:c r="C26" s="42"/>
      <x:c r="D26" s="42"/>
      <x:c r="E26" s="42"/>
      <x:c r="F26" s="42"/>
      <x:c r="G26" s="42"/>
      <x:c r="H26" s="42"/>
      <x:c r="I26" s="42"/>
      <x:c r="J26" s="42"/>
      <x:c r="K26" s="42"/>
      <x:c r="L26" s="42"/>
      <x:c r="M26" s="42"/>
    </x:row>
    <x:row r="27">
      <x:c r="A27" s="42"/>
      <x:c r="B27" s="42"/>
      <x:c r="C27" s="42"/>
      <x:c r="D27" s="42"/>
      <x:c r="E27" s="42"/>
      <x:c r="F27" s="42"/>
      <x:c r="G27" s="42"/>
      <x:c r="H27" s="42"/>
      <x:c r="I27" s="42"/>
      <x:c r="J27" s="42"/>
      <x:c r="K27" s="42"/>
      <x:c r="L27" s="42"/>
      <x:c r="M27" s="42"/>
    </x:row>
    <x:row r="28">
      <x:c r="A28" s="42"/>
      <x:c r="B28" s="42"/>
      <x:c r="C28" s="42"/>
      <x:c r="D28" s="42"/>
      <x:c r="E28" s="42"/>
      <x:c r="F28" s="42"/>
      <x:c r="G28" s="42"/>
      <x:c r="H28" s="42"/>
      <x:c r="I28" s="42"/>
      <x:c r="J28" s="42"/>
      <x:c r="K28" s="42"/>
      <x:c r="L28" s="42"/>
      <x:c r="M28" s="42"/>
    </x:row>
    <x:row r="29">
      <x:c r="A29" s="42"/>
      <x:c r="B29" s="42"/>
      <x:c r="C29" s="42"/>
      <x:c r="D29" s="42"/>
      <x:c r="E29" s="42"/>
      <x:c r="F29" s="42"/>
      <x:c r="G29" s="42"/>
      <x:c r="H29" s="42"/>
      <x:c r="I29" s="42"/>
      <x:c r="J29" s="42"/>
      <x:c r="K29" s="42"/>
      <x:c r="L29" s="42"/>
      <x:c r="M29" s="42"/>
    </x:row>
    <x:row r="30">
      <x:c r="A30" s="42"/>
      <x:c r="B30" s="42"/>
      <x:c r="C30" s="42"/>
      <x:c r="D30" s="42"/>
      <x:c r="E30" s="42"/>
      <x:c r="F30" s="42"/>
      <x:c r="G30" s="42"/>
      <x:c r="H30" s="42"/>
      <x:c r="I30" s="42"/>
      <x:c r="J30" s="42"/>
      <x:c r="K30" s="42"/>
      <x:c r="L30" s="42"/>
      <x:c r="M30" s="42"/>
    </x:row>
    <x:row r="31">
      <x:c r="A31" s="42"/>
      <x:c r="B31" s="42"/>
      <x:c r="C31" s="42"/>
      <x:c r="D31" s="42"/>
      <x:c r="E31" s="42"/>
      <x:c r="F31" s="42"/>
      <x:c r="G31" s="42"/>
      <x:c r="H31" s="42"/>
      <x:c r="I31" s="42"/>
      <x:c r="J31" s="42"/>
      <x:c r="K31" s="42"/>
      <x:c r="L31" s="42"/>
      <x:c r="M31" s="42"/>
    </x:row>
    <x:row r="32">
      <x:c r="A32" s="42"/>
      <x:c r="B32" s="42"/>
      <x:c r="C32" s="42"/>
      <x:c r="D32" s="42"/>
      <x:c r="E32" s="42"/>
      <x:c r="F32" s="42"/>
      <x:c r="G32" s="42"/>
      <x:c r="H32" s="42"/>
      <x:c r="I32" s="42"/>
      <x:c r="J32" s="42"/>
      <x:c r="K32" s="42"/>
      <x:c r="L32" s="42"/>
      <x:c r="M32" s="42"/>
    </x:row>
    <x:row r="33">
      <x:c r="A33" s="42"/>
      <x:c r="B33" s="42"/>
      <x:c r="C33" s="42"/>
      <x:c r="D33" s="42"/>
      <x:c r="E33" s="42"/>
      <x:c r="F33" s="42"/>
      <x:c r="G33" s="42"/>
      <x:c r="H33" s="42"/>
      <x:c r="I33" s="42"/>
      <x:c r="J33" s="42"/>
      <x:c r="K33" s="42"/>
      <x:c r="L33" s="42"/>
      <x:c r="M33" s="42"/>
    </x:row>
    <x:row r="34">
      <x:c r="A34" s="42"/>
      <x:c r="B34" s="42"/>
      <x:c r="C34" s="42"/>
      <x:c r="D34" s="42"/>
      <x:c r="E34" s="42"/>
      <x:c r="F34" s="42"/>
      <x:c r="G34" s="42"/>
      <x:c r="H34" s="42"/>
      <x:c r="I34" s="42"/>
      <x:c r="J34" s="42"/>
      <x:c r="K34" s="42"/>
      <x:c r="L34" s="42"/>
      <x:c r="M34" s="42"/>
    </x:row>
    <x:row r="35">
      <x:c r="A35" s="42"/>
      <x:c r="B35" s="42"/>
      <x:c r="C35" s="42"/>
      <x:c r="D35" s="42"/>
      <x:c r="E35" s="42"/>
      <x:c r="F35" s="42"/>
      <x:c r="G35" s="42"/>
      <x:c r="H35" s="42"/>
      <x:c r="I35" s="42"/>
      <x:c r="J35" s="42"/>
      <x:c r="K35" s="42"/>
      <x:c r="L35" s="42"/>
      <x:c r="M35" s="42"/>
    </x:row>
    <x:row r="36">
      <x:c r="A36" s="42"/>
      <x:c r="B36" s="42"/>
      <x:c r="C36" s="42"/>
      <x:c r="D36" s="42"/>
      <x:c r="E36" s="42"/>
      <x:c r="F36" s="42"/>
      <x:c r="G36" s="42"/>
      <x:c r="H36" s="42"/>
      <x:c r="I36" s="42"/>
      <x:c r="J36" s="42"/>
      <x:c r="K36" s="42"/>
      <x:c r="L36" s="42"/>
      <x:c r="M36" s="42"/>
    </x:row>
    <x:row r="37">
      <x:c r="A37" s="42"/>
      <x:c r="B37" s="42"/>
      <x:c r="C37" s="42"/>
      <x:c r="D37" s="42"/>
      <x:c r="E37" s="42"/>
      <x:c r="F37" s="42"/>
      <x:c r="G37" s="42"/>
      <x:c r="H37" s="42"/>
      <x:c r="I37" s="42"/>
      <x:c r="J37" s="42"/>
      <x:c r="K37" s="42"/>
      <x:c r="L37" s="42"/>
      <x:c r="M37" s="42"/>
    </x:row>
    <x:row r="38">
      <x:c r="A38" s="42"/>
      <x:c r="B38" s="42"/>
      <x:c r="C38" s="42"/>
      <x:c r="D38" s="42"/>
      <x:c r="E38" s="42"/>
      <x:c r="F38" s="42"/>
      <x:c r="G38" s="42"/>
      <x:c r="H38" s="42"/>
      <x:c r="I38" s="42"/>
      <x:c r="J38" s="42"/>
      <x:c r="K38" s="42"/>
      <x:c r="L38" s="42"/>
      <x:c r="M38" s="42"/>
    </x:row>
    <x:row r="39">
      <x:c r="A39" s="42"/>
      <x:c r="B39" s="42"/>
      <x:c r="C39" s="42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</x:row>
    <x:row r="40">
      <x:c r="A40" s="42"/>
      <x:c r="B40" s="42"/>
      <x:c r="C40" s="42"/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</x:row>
    <x:row r="41">
      <x:c r="A41" s="42"/>
      <x:c r="B41" s="42"/>
      <x:c r="C41" s="42"/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</x:row>
    <x:row r="42">
      <x:c r="A42" s="42"/>
      <x:c r="B42" s="42"/>
      <x:c r="C42" s="42"/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</x:row>
    <x:row r="43">
      <x:c r="A43" s="42"/>
      <x:c r="B43" s="42"/>
      <x:c r="C43" s="42"/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</x:row>
    <x:row r="44">
      <x:c r="A44" s="42"/>
      <x:c r="B44" s="42"/>
      <x:c r="C44" s="42"/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</x:row>
    <x:row r="45">
      <x:c r="A45" s="42"/>
      <x:c r="B45" s="42"/>
      <x:c r="C45" s="42"/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</x:row>
    <x:row r="46">
      <x:c r="A46" s="42"/>
      <x:c r="B46" s="42"/>
      <x:c r="C46" s="42"/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</x:row>
    <x:row r="47">
      <x:c r="A47" s="42"/>
      <x:c r="B47" s="42"/>
      <x:c r="C47" s="42"/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</x:row>
    <x:row r="48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</x:row>
    <x:row r="49">
      <x:c r="A49" s="42"/>
      <x:c r="B49" s="42"/>
      <x:c r="C49" s="42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</x:row>
    <x:row r="50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</x:row>
    <x:row r="51">
      <x:c r="A51" s="42"/>
      <x:c r="B51" s="42"/>
      <x:c r="C51" s="42"/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</x:row>
    <x:row r="52">
      <x:c r="A52" s="42"/>
      <x:c r="B52" s="42"/>
      <x:c r="C52" s="42"/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</x:row>
    <x:row r="53">
      <x:c r="A53" s="42"/>
      <x:c r="B53" s="42"/>
      <x:c r="C53" s="42"/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</x:row>
    <x:row r="54">
      <x:c r="A54" s="42"/>
      <x:c r="B54" s="42"/>
      <x:c r="C54" s="42"/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</x:row>
    <x:row r="55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</x:row>
    <x:row r="56">
      <x:c r="A56" s="42"/>
      <x:c r="B56" s="42"/>
      <x:c r="C56" s="42"/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</x:row>
    <x:row r="57">
      <x:c r="A57" s="42"/>
      <x:c r="B57" s="42"/>
      <x:c r="C57" s="42"/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</x:row>
    <x:row r="58">
      <x:c r="A58" s="42"/>
      <x:c r="B58" s="42"/>
      <x:c r="C58" s="42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</x:row>
    <x:row r="59">
      <x:c r="A59" s="42"/>
      <x:c r="B59" s="42"/>
      <x:c r="C59" s="42"/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</x:row>
    <x:row r="60">
      <x:c r="A60" s="42"/>
      <x:c r="B60" s="42"/>
      <x:c r="C60" s="42"/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</x:row>
    <x:row r="61">
      <x:c r="A61" s="42"/>
      <x:c r="B61" s="42"/>
      <x:c r="C61" s="42"/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</x:row>
    <x:row r="62">
      <x:c r="A62" s="42"/>
      <x:c r="B62" s="42"/>
      <x:c r="C62" s="42"/>
      <x:c r="D62" s="42"/>
      <x:c r="E62" s="42"/>
      <x:c r="F62" s="42"/>
      <x:c r="G62" s="42"/>
      <x:c r="H62" s="42"/>
      <x:c r="I62" s="42"/>
      <x:c r="J62" s="42"/>
      <x:c r="K62" s="42"/>
      <x:c r="L62" s="42"/>
      <x:c r="M62" s="42"/>
    </x:row>
    <x:row r="63">
      <x:c r="A63" s="42"/>
      <x:c r="B63" s="42"/>
      <x:c r="C63" s="42"/>
      <x:c r="D63" s="42"/>
      <x:c r="E63" s="42"/>
      <x:c r="F63" s="42"/>
      <x:c r="G63" s="42"/>
      <x:c r="H63" s="42"/>
      <x:c r="I63" s="42"/>
      <x:c r="J63" s="42"/>
      <x:c r="K63" s="42"/>
      <x:c r="L63" s="42"/>
      <x:c r="M63" s="42"/>
    </x:row>
    <x:row r="64">
      <x:c r="A64" s="42"/>
      <x:c r="B64" s="42"/>
      <x:c r="C64" s="42"/>
      <x:c r="D64" s="42"/>
      <x:c r="E64" s="42"/>
      <x:c r="F64" s="42"/>
      <x:c r="G64" s="42"/>
      <x:c r="H64" s="42"/>
      <x:c r="I64" s="42"/>
      <x:c r="J64" s="42"/>
      <x:c r="K64" s="42"/>
      <x:c r="L64" s="42"/>
      <x:c r="M64" s="42"/>
    </x:row>
    <x:row r="65">
      <x:c r="A65" s="42"/>
      <x:c r="B65" s="42"/>
      <x:c r="C65" s="42"/>
      <x:c r="D65" s="42"/>
      <x:c r="E65" s="42"/>
      <x:c r="F65" s="42"/>
      <x:c r="G65" s="42"/>
      <x:c r="H65" s="42"/>
      <x:c r="I65" s="42"/>
      <x:c r="J65" s="42"/>
      <x:c r="K65" s="42"/>
      <x:c r="L65" s="42"/>
      <x:c r="M65" s="42"/>
    </x:row>
    <x:row r="66">
      <x:c r="A66" s="42"/>
      <x:c r="B66" s="42"/>
      <x:c r="C66" s="42"/>
      <x:c r="D66" s="42"/>
      <x:c r="E66" s="42"/>
      <x:c r="F66" s="42"/>
      <x:c r="G66" s="42"/>
      <x:c r="H66" s="42"/>
      <x:c r="I66" s="42"/>
      <x:c r="J66" s="42"/>
      <x:c r="K66" s="42"/>
      <x:c r="L66" s="42"/>
      <x:c r="M66" s="42"/>
    </x:row>
    <x:row r="67">
      <x:c r="A67" s="42"/>
      <x:c r="B67" s="42"/>
      <x:c r="C67" s="42"/>
      <x:c r="D67" s="42"/>
      <x:c r="E67" s="42"/>
      <x:c r="F67" s="42"/>
      <x:c r="G67" s="42"/>
      <x:c r="H67" s="42"/>
      <x:c r="I67" s="42"/>
      <x:c r="J67" s="42"/>
      <x:c r="K67" s="42"/>
      <x:c r="L67" s="42"/>
      <x:c r="M67" s="42"/>
    </x:row>
    <x:row r="68">
      <x:c r="A68" s="42"/>
      <x:c r="B68" s="42"/>
      <x:c r="C68" s="42"/>
      <x:c r="D68" s="42"/>
      <x:c r="E68" s="42"/>
      <x:c r="F68" s="42"/>
      <x:c r="G68" s="42"/>
      <x:c r="H68" s="42"/>
      <x:c r="I68" s="42"/>
      <x:c r="J68" s="42"/>
      <x:c r="K68" s="42"/>
      <x:c r="L68" s="42"/>
      <x:c r="M68" s="42"/>
    </x:row>
    <x:row r="69">
      <x:c r="A69" s="42"/>
      <x:c r="B69" s="42"/>
      <x:c r="C69" s="42"/>
      <x:c r="D69" s="42"/>
      <x:c r="E69" s="42"/>
      <x:c r="F69" s="42"/>
      <x:c r="G69" s="42"/>
      <x:c r="H69" s="42"/>
      <x:c r="I69" s="42"/>
      <x:c r="J69" s="42"/>
      <x:c r="K69" s="42"/>
      <x:c r="L69" s="42"/>
      <x:c r="M69" s="42"/>
    </x:row>
    <x:row r="70">
      <x:c r="A70" s="42"/>
      <x:c r="B70" s="42"/>
      <x:c r="C70" s="42"/>
      <x:c r="D70" s="42"/>
      <x:c r="E70" s="42"/>
      <x:c r="F70" s="42"/>
      <x:c r="G70" s="42"/>
      <x:c r="H70" s="42"/>
      <x:c r="I70" s="42"/>
      <x:c r="J70" s="42"/>
      <x:c r="K70" s="42"/>
      <x:c r="L70" s="42"/>
      <x:c r="M70" s="42"/>
    </x:row>
    <x:row r="71">
      <x:c r="A71" s="42"/>
      <x:c r="B71" s="42"/>
      <x:c r="C71" s="42"/>
      <x:c r="D71" s="42"/>
      <x:c r="E71" s="42"/>
      <x:c r="F71" s="42"/>
      <x:c r="G71" s="42"/>
      <x:c r="H71" s="42"/>
      <x:c r="I71" s="42"/>
      <x:c r="J71" s="42"/>
      <x:c r="K71" s="42"/>
      <x:c r="L71" s="42"/>
      <x:c r="M71" s="42"/>
    </x:row>
    <x:row r="72">
      <x:c r="A72" s="42"/>
      <x:c r="B72" s="42"/>
      <x:c r="C72" s="42"/>
      <x:c r="D72" s="42"/>
      <x:c r="E72" s="42"/>
      <x:c r="F72" s="42"/>
      <x:c r="G72" s="42"/>
      <x:c r="H72" s="42"/>
      <x:c r="I72" s="42"/>
      <x:c r="J72" s="42"/>
      <x:c r="K72" s="42"/>
      <x:c r="L72" s="42"/>
      <x:c r="M72" s="42"/>
    </x:row>
    <x:row r="73">
      <x:c r="A73" s="42"/>
      <x:c r="B73" s="42"/>
      <x:c r="C73" s="42"/>
      <x:c r="D73" s="42"/>
      <x:c r="E73" s="42"/>
      <x:c r="F73" s="42"/>
      <x:c r="G73" s="42"/>
      <x:c r="H73" s="42"/>
      <x:c r="I73" s="42"/>
      <x:c r="J73" s="42"/>
      <x:c r="K73" s="42"/>
      <x:c r="L73" s="42"/>
      <x:c r="M73" s="42"/>
    </x:row>
    <x:row r="74">
      <x:c r="A74" s="42"/>
      <x:c r="B74" s="42"/>
      <x:c r="C74" s="42"/>
      <x:c r="D74" s="42"/>
      <x:c r="E74" s="42"/>
      <x:c r="F74" s="42"/>
      <x:c r="G74" s="42"/>
      <x:c r="H74" s="42"/>
      <x:c r="I74" s="42"/>
      <x:c r="J74" s="42"/>
      <x:c r="K74" s="42"/>
      <x:c r="L74" s="42"/>
      <x:c r="M74" s="42"/>
    </x:row>
    <x:row r="75">
      <x:c r="A75" s="42"/>
      <x:c r="B75" s="42"/>
      <x:c r="C75" s="42"/>
      <x:c r="D75" s="42"/>
      <x:c r="E75" s="42"/>
      <x:c r="F75" s="42"/>
      <x:c r="G75" s="42"/>
      <x:c r="H75" s="42"/>
      <x:c r="I75" s="42"/>
      <x:c r="J75" s="42"/>
      <x:c r="K75" s="42"/>
      <x:c r="L75" s="42"/>
      <x:c r="M75" s="42"/>
    </x:row>
    <x:row r="76">
      <x:c r="A76" s="42"/>
      <x:c r="B76" s="42"/>
      <x:c r="C76" s="42"/>
      <x:c r="D76" s="42"/>
      <x:c r="E76" s="42"/>
      <x:c r="F76" s="42"/>
      <x:c r="G76" s="42"/>
      <x:c r="H76" s="42"/>
      <x:c r="I76" s="42"/>
      <x:c r="J76" s="42"/>
      <x:c r="K76" s="42"/>
      <x:c r="L76" s="42"/>
      <x:c r="M76" s="42"/>
    </x:row>
    <x:row r="77">
      <x:c r="A77" s="42"/>
      <x:c r="B77" s="42"/>
      <x:c r="C77" s="42"/>
      <x:c r="D77" s="42"/>
      <x:c r="E77" s="42"/>
      <x:c r="F77" s="42"/>
      <x:c r="G77" s="42"/>
      <x:c r="H77" s="42"/>
      <x:c r="I77" s="42"/>
      <x:c r="J77" s="42"/>
      <x:c r="K77" s="42"/>
      <x:c r="L77" s="42"/>
      <x:c r="M77" s="42"/>
    </x:row>
    <x:row r="78">
      <x:c r="A78" s="42"/>
      <x:c r="B78" s="42"/>
      <x:c r="C78" s="42"/>
      <x:c r="D78" s="42"/>
      <x:c r="E78" s="42"/>
      <x:c r="F78" s="42"/>
      <x:c r="G78" s="42"/>
      <x:c r="H78" s="42"/>
      <x:c r="I78" s="42"/>
      <x:c r="J78" s="42"/>
      <x:c r="K78" s="42"/>
      <x:c r="L78" s="42"/>
      <x:c r="M78" s="42"/>
    </x:row>
    <x:row r="79">
      <x:c r="A79" s="42"/>
      <x:c r="B79" s="42"/>
      <x:c r="C79" s="42"/>
      <x:c r="D79" s="42"/>
      <x:c r="E79" s="42"/>
      <x:c r="F79" s="42"/>
      <x:c r="G79" s="42"/>
      <x:c r="H79" s="42"/>
      <x:c r="I79" s="42"/>
      <x:c r="J79" s="42"/>
      <x:c r="K79" s="42"/>
      <x:c r="L79" s="42"/>
      <x:c r="M79" s="42"/>
    </x:row>
    <x:row r="80">
      <x:c r="A80" s="42"/>
      <x:c r="B80" s="42"/>
      <x:c r="C80" s="42"/>
      <x:c r="D80" s="42"/>
      <x:c r="E80" s="42"/>
      <x:c r="F80" s="42"/>
      <x:c r="G80" s="42"/>
      <x:c r="H80" s="42"/>
      <x:c r="I80" s="42"/>
      <x:c r="J80" s="42"/>
      <x:c r="K80" s="42"/>
      <x:c r="L80" s="42"/>
      <x:c r="M80" s="42"/>
    </x:row>
    <x:row r="81">
      <x:c r="A81" s="42"/>
      <x:c r="B81" s="42"/>
      <x:c r="C81" s="42"/>
      <x:c r="D81" s="42"/>
      <x:c r="E81" s="42"/>
      <x:c r="F81" s="42"/>
      <x:c r="G81" s="42"/>
      <x:c r="H81" s="42"/>
      <x:c r="I81" s="42"/>
      <x:c r="J81" s="42"/>
      <x:c r="K81" s="42"/>
      <x:c r="L81" s="42"/>
      <x:c r="M81" s="42"/>
    </x:row>
    <x:row r="82">
      <x:c r="A82" s="42"/>
      <x:c r="B82" s="42"/>
      <x:c r="C82" s="42"/>
      <x:c r="D82" s="42"/>
      <x:c r="E82" s="42"/>
      <x:c r="F82" s="42"/>
      <x:c r="G82" s="42"/>
      <x:c r="H82" s="42"/>
      <x:c r="I82" s="42"/>
      <x:c r="J82" s="42"/>
      <x:c r="K82" s="42"/>
      <x:c r="L82" s="42"/>
      <x:c r="M82" s="42"/>
    </x:row>
    <x:row r="83">
      <x:c r="A83" s="42"/>
      <x:c r="B83" s="42"/>
      <x:c r="C83" s="42"/>
      <x:c r="D83" s="42"/>
      <x:c r="E83" s="42"/>
      <x:c r="F83" s="42"/>
      <x:c r="G83" s="42"/>
      <x:c r="H83" s="42"/>
      <x:c r="I83" s="42"/>
      <x:c r="J83" s="42"/>
      <x:c r="K83" s="42"/>
      <x:c r="L83" s="42"/>
      <x:c r="M83" s="42"/>
    </x:row>
    <x:row r="84">
      <x:c r="A84" s="42"/>
      <x:c r="B84" s="42"/>
      <x:c r="C84" s="42"/>
      <x:c r="D84" s="42"/>
      <x:c r="E84" s="42"/>
      <x:c r="F84" s="42"/>
      <x:c r="G84" s="42"/>
      <x:c r="H84" s="42"/>
      <x:c r="I84" s="42"/>
      <x:c r="J84" s="42"/>
      <x:c r="K84" s="42"/>
      <x:c r="L84" s="42"/>
      <x:c r="M84" s="42"/>
    </x:row>
    <x:row r="85">
      <x:c r="A85" s="42"/>
      <x:c r="B85" s="42"/>
      <x:c r="C85" s="42"/>
      <x:c r="D85" s="42"/>
      <x:c r="E85" s="42"/>
      <x:c r="F85" s="42"/>
      <x:c r="G85" s="42"/>
      <x:c r="H85" s="42"/>
      <x:c r="I85" s="42"/>
      <x:c r="J85" s="42"/>
      <x:c r="K85" s="42"/>
      <x:c r="L85" s="42"/>
      <x:c r="M85" s="42"/>
    </x:row>
    <x:row r="86">
      <x:c r="A86" s="42"/>
      <x:c r="B86" s="42"/>
      <x:c r="C86" s="42"/>
      <x:c r="D86" s="42"/>
      <x:c r="E86" s="42"/>
      <x:c r="F86" s="42"/>
      <x:c r="G86" s="42"/>
      <x:c r="H86" s="42"/>
      <x:c r="I86" s="42"/>
      <x:c r="J86" s="42"/>
      <x:c r="K86" s="42"/>
      <x:c r="L86" s="42"/>
      <x:c r="M86" s="42"/>
    </x:row>
    <x:row r="87">
      <x:c r="A87" s="42"/>
      <x:c r="B87" s="42"/>
      <x:c r="C87" s="42"/>
      <x:c r="D87" s="42"/>
      <x:c r="E87" s="42"/>
      <x:c r="F87" s="42"/>
      <x:c r="G87" s="42"/>
      <x:c r="H87" s="42"/>
      <x:c r="I87" s="42"/>
      <x:c r="J87" s="42"/>
      <x:c r="K87" s="42"/>
      <x:c r="L87" s="42"/>
      <x:c r="M87" s="42"/>
    </x:row>
    <x:row r="88">
      <x:c r="A88" s="42"/>
      <x:c r="B88" s="42"/>
      <x:c r="C88" s="42"/>
      <x:c r="D88" s="42"/>
      <x:c r="E88" s="42"/>
      <x:c r="F88" s="42"/>
      <x:c r="G88" s="42"/>
      <x:c r="H88" s="42"/>
      <x:c r="I88" s="42"/>
      <x:c r="J88" s="42"/>
      <x:c r="K88" s="42"/>
      <x:c r="L88" s="42"/>
      <x:c r="M88" s="42"/>
    </x:row>
    <x:row r="89">
      <x:c r="A89" s="42"/>
      <x:c r="B89" s="42"/>
      <x:c r="C89" s="42"/>
      <x:c r="D89" s="42"/>
      <x:c r="E89" s="42"/>
      <x:c r="F89" s="42"/>
      <x:c r="G89" s="42"/>
      <x:c r="H89" s="42"/>
      <x:c r="I89" s="42"/>
      <x:c r="J89" s="42"/>
      <x:c r="K89" s="42"/>
      <x:c r="L89" s="42"/>
      <x:c r="M89" s="42"/>
    </x:row>
    <x:row r="90">
      <x:c r="A90" s="42"/>
      <x:c r="B90" s="42"/>
      <x:c r="C90" s="42"/>
      <x:c r="D90" s="42"/>
      <x:c r="E90" s="42"/>
      <x:c r="F90" s="42"/>
      <x:c r="G90" s="42"/>
      <x:c r="H90" s="42"/>
      <x:c r="I90" s="42"/>
      <x:c r="J90" s="42"/>
      <x:c r="K90" s="42"/>
      <x:c r="L90" s="42"/>
      <x:c r="M90" s="42"/>
    </x:row>
    <x:row r="91">
      <x:c r="A91" s="42"/>
      <x:c r="B91" s="42"/>
      <x:c r="C91" s="42"/>
      <x:c r="D91" s="42"/>
      <x:c r="E91" s="42"/>
      <x:c r="F91" s="42"/>
      <x:c r="G91" s="42"/>
      <x:c r="H91" s="42"/>
      <x:c r="I91" s="42"/>
      <x:c r="J91" s="42"/>
      <x:c r="K91" s="42"/>
      <x:c r="L91" s="42"/>
      <x:c r="M91" s="42"/>
    </x:row>
    <x:row r="92">
      <x:c r="A92" s="42"/>
      <x:c r="B92" s="42"/>
      <x:c r="C92" s="42"/>
      <x:c r="D92" s="42"/>
      <x:c r="E92" s="42"/>
      <x:c r="F92" s="42"/>
      <x:c r="G92" s="42"/>
      <x:c r="H92" s="42"/>
      <x:c r="I92" s="42"/>
      <x:c r="J92" s="42"/>
      <x:c r="K92" s="42"/>
      <x:c r="L92" s="42"/>
      <x:c r="M92" s="42"/>
    </x:row>
    <x:row r="93">
      <x:c r="A93" s="42"/>
      <x:c r="B93" s="42"/>
      <x:c r="C93" s="42"/>
      <x:c r="D93" s="42"/>
      <x:c r="E93" s="42"/>
      <x:c r="F93" s="42"/>
      <x:c r="G93" s="42"/>
      <x:c r="H93" s="42"/>
      <x:c r="I93" s="42"/>
      <x:c r="J93" s="42"/>
      <x:c r="K93" s="42"/>
      <x:c r="L93" s="42"/>
      <x:c r="M93" s="42"/>
    </x:row>
    <x:row r="94">
      <x:c r="A94" s="42"/>
      <x:c r="B94" s="42"/>
      <x:c r="C94" s="42"/>
      <x:c r="D94" s="42"/>
      <x:c r="E94" s="42"/>
      <x:c r="F94" s="42"/>
      <x:c r="G94" s="42"/>
      <x:c r="H94" s="42"/>
      <x:c r="I94" s="42"/>
      <x:c r="J94" s="42"/>
      <x:c r="K94" s="42"/>
      <x:c r="L94" s="42"/>
      <x:c r="M94" s="42"/>
    </x:row>
    <x:row r="95">
      <x:c r="A95" s="42"/>
      <x:c r="B95" s="42"/>
      <x:c r="C95" s="42"/>
      <x:c r="D95" s="42"/>
      <x:c r="E95" s="42"/>
      <x:c r="F95" s="42"/>
      <x:c r="G95" s="42"/>
      <x:c r="H95" s="42"/>
      <x:c r="I95" s="42"/>
      <x:c r="J95" s="42"/>
      <x:c r="K95" s="42"/>
      <x:c r="L95" s="42"/>
      <x:c r="M95" s="42"/>
    </x:row>
    <x:row r="96">
      <x:c r="A96" s="42"/>
      <x:c r="B96" s="42"/>
      <x:c r="C96" s="42"/>
      <x:c r="D96" s="42"/>
      <x:c r="E96" s="42"/>
      <x:c r="F96" s="42"/>
      <x:c r="G96" s="42"/>
      <x:c r="H96" s="42"/>
      <x:c r="I96" s="42"/>
      <x:c r="J96" s="42"/>
      <x:c r="K96" s="42"/>
      <x:c r="L96" s="42"/>
      <x:c r="M96" s="42"/>
    </x:row>
    <x:row r="97">
      <x:c r="A97" s="42"/>
      <x:c r="B97" s="42"/>
      <x:c r="C97" s="42"/>
      <x:c r="D97" s="42"/>
      <x:c r="E97" s="42"/>
      <x:c r="F97" s="42"/>
      <x:c r="G97" s="42"/>
      <x:c r="H97" s="42"/>
      <x:c r="I97" s="42"/>
      <x:c r="J97" s="42"/>
      <x:c r="K97" s="42"/>
      <x:c r="L97" s="42"/>
      <x:c r="M97" s="42"/>
    </x:row>
    <x:row r="98">
      <x:c r="A98" s="42"/>
      <x:c r="B98" s="42"/>
      <x:c r="C98" s="42"/>
      <x:c r="D98" s="42"/>
      <x:c r="E98" s="42"/>
      <x:c r="F98" s="42"/>
      <x:c r="G98" s="42"/>
      <x:c r="H98" s="42"/>
      <x:c r="I98" s="42"/>
      <x:c r="J98" s="42"/>
      <x:c r="K98" s="42"/>
      <x:c r="L98" s="42"/>
      <x:c r="M98" s="42"/>
    </x:row>
    <x:row r="99">
      <x:c r="A99" s="42"/>
      <x:c r="B99" s="42"/>
      <x:c r="C99" s="42"/>
      <x:c r="D99" s="42"/>
      <x:c r="E99" s="42"/>
      <x:c r="F99" s="42"/>
      <x:c r="G99" s="42"/>
      <x:c r="H99" s="42"/>
      <x:c r="I99" s="42"/>
      <x:c r="J99" s="42"/>
      <x:c r="K99" s="42"/>
      <x:c r="L99" s="42"/>
      <x:c r="M99" s="42"/>
    </x:row>
    <x:row r="100">
      <x:c r="A100" s="42"/>
      <x:c r="B100" s="42"/>
      <x:c r="C100" s="42"/>
      <x:c r="D100" s="42"/>
      <x:c r="E100" s="42"/>
      <x:c r="F100" s="42"/>
      <x:c r="G100" s="42"/>
      <x:c r="H100" s="42"/>
      <x:c r="I100" s="42"/>
      <x:c r="J100" s="42"/>
      <x:c r="K100" s="42"/>
      <x:c r="L100" s="42"/>
      <x:c r="M100" s="42"/>
    </x:row>
    <x:row r="101">
      <x:c r="A101" s="42"/>
      <x:c r="B101" s="42"/>
      <x:c r="C101" s="42"/>
      <x:c r="D101" s="42"/>
      <x:c r="E101" s="42"/>
      <x:c r="F101" s="42"/>
      <x:c r="G101" s="42"/>
      <x:c r="H101" s="42"/>
      <x:c r="I101" s="42"/>
      <x:c r="J101" s="42"/>
      <x:c r="K101" s="42"/>
      <x:c r="L101" s="42"/>
      <x:c r="M101" s="42"/>
    </x:row>
    <x:row r="102">
      <x:c r="A102" s="42"/>
      <x:c r="B102" s="42"/>
      <x:c r="C102" s="42"/>
      <x:c r="D102" s="42"/>
      <x:c r="E102" s="42"/>
      <x:c r="F102" s="42"/>
      <x:c r="G102" s="42"/>
      <x:c r="H102" s="42"/>
      <x:c r="I102" s="42"/>
      <x:c r="J102" s="42"/>
      <x:c r="K102" s="42"/>
      <x:c r="L102" s="42"/>
      <x:c r="M102" s="42"/>
    </x:row>
    <x:row r="103">
      <x:c r="A103" s="42"/>
      <x:c r="B103" s="42"/>
      <x:c r="C103" s="42"/>
      <x:c r="D103" s="42"/>
      <x:c r="E103" s="42"/>
      <x:c r="F103" s="42"/>
      <x:c r="G103" s="42"/>
      <x:c r="H103" s="42"/>
      <x:c r="I103" s="42"/>
      <x:c r="J103" s="42"/>
      <x:c r="K103" s="42"/>
      <x:c r="L103" s="42"/>
      <x:c r="M103" s="42"/>
    </x:row>
    <x:row r="104">
      <x:c r="A104" s="42"/>
      <x:c r="B104" s="42"/>
      <x:c r="C104" s="42"/>
      <x:c r="D104" s="42"/>
      <x:c r="E104" s="42"/>
      <x:c r="F104" s="42"/>
      <x:c r="G104" s="42"/>
      <x:c r="H104" s="42"/>
      <x:c r="I104" s="42"/>
      <x:c r="J104" s="42"/>
      <x:c r="K104" s="42"/>
      <x:c r="L104" s="42"/>
      <x:c r="M104" s="42"/>
    </x:row>
    <x:row r="105">
      <x:c r="A105" s="42"/>
      <x:c r="B105" s="42"/>
      <x:c r="C105" s="42"/>
      <x:c r="D105" s="42"/>
      <x:c r="E105" s="42"/>
      <x:c r="F105" s="42"/>
      <x:c r="G105" s="42"/>
      <x:c r="H105" s="42"/>
      <x:c r="I105" s="42"/>
      <x:c r="J105" s="42"/>
      <x:c r="K105" s="42"/>
      <x:c r="L105" s="42"/>
      <x:c r="M105" s="42"/>
    </x:row>
    <x:row r="106">
      <x:c r="A106" s="42"/>
      <x:c r="B106" s="42"/>
      <x:c r="C106" s="42"/>
      <x:c r="D106" s="42"/>
      <x:c r="E106" s="42"/>
      <x:c r="F106" s="42"/>
      <x:c r="G106" s="42"/>
      <x:c r="H106" s="42"/>
      <x:c r="I106" s="42"/>
      <x:c r="J106" s="42"/>
      <x:c r="K106" s="42"/>
      <x:c r="L106" s="42"/>
      <x:c r="M106" s="42"/>
    </x:row>
    <x:row r="107">
      <x:c r="A107" s="42"/>
      <x:c r="B107" s="42"/>
      <x:c r="C107" s="42"/>
      <x:c r="D107" s="42"/>
      <x:c r="E107" s="42"/>
      <x:c r="F107" s="42"/>
      <x:c r="G107" s="42"/>
      <x:c r="H107" s="42"/>
      <x:c r="I107" s="42"/>
      <x:c r="J107" s="42"/>
      <x:c r="K107" s="42"/>
      <x:c r="L107" s="42"/>
      <x:c r="M107" s="42"/>
    </x:row>
    <x:row r="108">
      <x:c r="A108" s="42"/>
      <x:c r="B108" s="42"/>
      <x:c r="C108" s="42"/>
      <x:c r="D108" s="42"/>
      <x:c r="E108" s="42"/>
      <x:c r="F108" s="42"/>
      <x:c r="G108" s="42"/>
      <x:c r="H108" s="42"/>
      <x:c r="I108" s="42"/>
      <x:c r="J108" s="42"/>
      <x:c r="K108" s="42"/>
      <x:c r="L108" s="42"/>
      <x:c r="M108" s="42"/>
    </x:row>
    <x:row r="109">
      <x:c r="A109" s="42"/>
      <x:c r="B109" s="42"/>
      <x:c r="C109" s="42"/>
      <x:c r="D109" s="42"/>
      <x:c r="E109" s="42"/>
      <x:c r="F109" s="42"/>
      <x:c r="G109" s="42"/>
      <x:c r="H109" s="42"/>
      <x:c r="I109" s="42"/>
      <x:c r="J109" s="42"/>
      <x:c r="K109" s="42"/>
      <x:c r="L109" s="42"/>
      <x:c r="M109" s="42"/>
    </x:row>
    <x:row r="110">
      <x:c r="A110" s="42"/>
      <x:c r="B110" s="42"/>
      <x:c r="C110" s="42"/>
      <x:c r="D110" s="42"/>
      <x:c r="E110" s="42"/>
      <x:c r="F110" s="42"/>
      <x:c r="G110" s="42"/>
      <x:c r="H110" s="42"/>
      <x:c r="I110" s="42"/>
      <x:c r="J110" s="42"/>
      <x:c r="K110" s="42"/>
      <x:c r="L110" s="42"/>
      <x:c r="M110" s="42"/>
    </x:row>
    <x:row r="111">
      <x:c r="A111" s="42"/>
      <x:c r="B111" s="42"/>
      <x:c r="C111" s="42"/>
      <x:c r="D111" s="42"/>
      <x:c r="E111" s="42"/>
      <x:c r="F111" s="42"/>
      <x:c r="G111" s="42"/>
      <x:c r="H111" s="42"/>
      <x:c r="I111" s="42"/>
      <x:c r="J111" s="42"/>
      <x:c r="K111" s="42"/>
      <x:c r="L111" s="42"/>
      <x:c r="M111" s="42"/>
    </x:row>
    <x:row r="112">
      <x:c r="A112" s="42"/>
      <x:c r="B112" s="42"/>
      <x:c r="C112" s="42"/>
      <x:c r="D112" s="42"/>
      <x:c r="E112" s="42"/>
      <x:c r="F112" s="42"/>
      <x:c r="G112" s="42"/>
      <x:c r="H112" s="42"/>
      <x:c r="I112" s="42"/>
      <x:c r="J112" s="42"/>
      <x:c r="K112" s="42"/>
      <x:c r="L112" s="42"/>
      <x:c r="M112" s="42"/>
    </x:row>
    <x:row r="113">
      <x:c r="A113" s="42"/>
      <x:c r="B113" s="42"/>
      <x:c r="C113" s="42"/>
      <x:c r="D113" s="42"/>
      <x:c r="E113" s="42"/>
      <x:c r="F113" s="42"/>
      <x:c r="G113" s="42"/>
      <x:c r="H113" s="42"/>
      <x:c r="I113" s="42"/>
      <x:c r="J113" s="42"/>
      <x:c r="K113" s="42"/>
      <x:c r="L113" s="42"/>
      <x:c r="M113" s="42"/>
    </x:row>
    <x:row r="114">
      <x:c r="A114" s="42"/>
      <x:c r="B114" s="42"/>
      <x:c r="C114" s="42"/>
      <x:c r="D114" s="42"/>
      <x:c r="E114" s="42"/>
      <x:c r="F114" s="42"/>
      <x:c r="G114" s="42"/>
      <x:c r="H114" s="42"/>
      <x:c r="I114" s="42"/>
      <x:c r="J114" s="42"/>
      <x:c r="K114" s="42"/>
      <x:c r="L114" s="42"/>
      <x:c r="M114" s="42"/>
    </x:row>
    <x:row r="115">
      <x:c r="A115" s="42"/>
      <x:c r="B115" s="42"/>
      <x:c r="C115" s="42"/>
      <x:c r="D115" s="42"/>
      <x:c r="E115" s="42"/>
      <x:c r="F115" s="42"/>
      <x:c r="G115" s="42"/>
      <x:c r="H115" s="42"/>
      <x:c r="I115" s="42"/>
      <x:c r="J115" s="42"/>
      <x:c r="K115" s="42"/>
      <x:c r="L115" s="42"/>
      <x:c r="M115" s="42"/>
    </x:row>
    <x:row r="116">
      <x:c r="A116" s="42"/>
      <x:c r="B116" s="42"/>
      <x:c r="C116" s="42"/>
      <x:c r="D116" s="42"/>
      <x:c r="E116" s="42"/>
      <x:c r="F116" s="42"/>
      <x:c r="G116" s="42"/>
      <x:c r="H116" s="42"/>
      <x:c r="I116" s="42"/>
      <x:c r="J116" s="42"/>
      <x:c r="K116" s="42"/>
      <x:c r="L116" s="42"/>
      <x:c r="M116" s="42"/>
    </x:row>
    <x:row r="117">
      <x:c r="A117" s="42"/>
      <x:c r="B117" s="42"/>
      <x:c r="C117" s="42"/>
      <x:c r="D117" s="42"/>
      <x:c r="E117" s="42"/>
      <x:c r="F117" s="42"/>
      <x:c r="G117" s="42"/>
      <x:c r="H117" s="42"/>
      <x:c r="I117" s="42"/>
      <x:c r="J117" s="42"/>
      <x:c r="K117" s="42"/>
      <x:c r="L117" s="42"/>
      <x:c r="M117" s="42"/>
    </x:row>
    <x:row r="118">
      <x:c r="A118" s="42"/>
      <x:c r="B118" s="42"/>
      <x:c r="C118" s="42"/>
      <x:c r="D118" s="42"/>
      <x:c r="E118" s="42"/>
      <x:c r="F118" s="42"/>
      <x:c r="G118" s="42"/>
      <x:c r="H118" s="42"/>
      <x:c r="I118" s="42"/>
      <x:c r="J118" s="42"/>
      <x:c r="K118" s="42"/>
      <x:c r="L118" s="42"/>
      <x:c r="M118" s="42"/>
    </x:row>
    <x:row r="119">
      <x:c r="A119" s="42"/>
      <x:c r="B119" s="42"/>
      <x:c r="C119" s="42"/>
      <x:c r="D119" s="42"/>
      <x:c r="E119" s="42"/>
      <x:c r="F119" s="42"/>
      <x:c r="G119" s="42"/>
      <x:c r="H119" s="42"/>
      <x:c r="I119" s="42"/>
      <x:c r="J119" s="42"/>
      <x:c r="K119" s="42"/>
      <x:c r="L119" s="42"/>
      <x:c r="M119" s="42"/>
    </x:row>
    <x:row r="120">
      <x:c r="A120" s="42"/>
      <x:c r="B120" s="42"/>
      <x:c r="C120" s="42"/>
      <x:c r="D120" s="42"/>
      <x:c r="E120" s="42"/>
      <x:c r="F120" s="42"/>
      <x:c r="G120" s="42"/>
      <x:c r="H120" s="42"/>
      <x:c r="I120" s="42"/>
      <x:c r="J120" s="42"/>
      <x:c r="K120" s="42"/>
      <x:c r="L120" s="42"/>
      <x:c r="M120" s="42"/>
    </x:row>
    <x:row r="121">
      <x:c r="A121" s="42"/>
      <x:c r="B121" s="42"/>
      <x:c r="C121" s="42"/>
      <x:c r="D121" s="42"/>
      <x:c r="E121" s="42"/>
      <x:c r="F121" s="42"/>
      <x:c r="G121" s="42"/>
      <x:c r="H121" s="42"/>
      <x:c r="I121" s="42"/>
      <x:c r="J121" s="42"/>
      <x:c r="K121" s="42"/>
      <x:c r="L121" s="42"/>
      <x:c r="M121" s="42"/>
    </x:row>
    <x:row r="122">
      <x:c r="A122" s="42"/>
      <x:c r="B122" s="42"/>
      <x:c r="C122" s="42"/>
      <x:c r="D122" s="42"/>
      <x:c r="E122" s="42"/>
      <x:c r="F122" s="42"/>
      <x:c r="G122" s="42"/>
      <x:c r="H122" s="42"/>
      <x:c r="I122" s="42"/>
      <x:c r="J122" s="42"/>
      <x:c r="K122" s="42"/>
      <x:c r="L122" s="42"/>
      <x:c r="M122" s="42"/>
    </x:row>
    <x:row r="123">
      <x:c r="A123" s="42"/>
      <x:c r="B123" s="42"/>
      <x:c r="C123" s="42"/>
      <x:c r="D123" s="42"/>
      <x:c r="E123" s="42"/>
      <x:c r="F123" s="42"/>
      <x:c r="G123" s="42"/>
      <x:c r="H123" s="42"/>
      <x:c r="I123" s="42"/>
      <x:c r="J123" s="42"/>
      <x:c r="K123" s="42"/>
      <x:c r="L123" s="42"/>
      <x:c r="M123" s="42"/>
    </x:row>
    <x:row r="124">
      <x:c r="A124" s="42"/>
      <x:c r="B124" s="42"/>
      <x:c r="C124" s="42"/>
      <x:c r="D124" s="42"/>
      <x:c r="E124" s="42"/>
      <x:c r="F124" s="42"/>
      <x:c r="G124" s="42"/>
      <x:c r="H124" s="42"/>
      <x:c r="I124" s="42"/>
      <x:c r="J124" s="42"/>
      <x:c r="K124" s="42"/>
      <x:c r="L124" s="42"/>
      <x:c r="M124" s="42"/>
    </x:row>
    <x:row r="125">
      <x:c r="A125" s="42"/>
      <x:c r="B125" s="42"/>
      <x:c r="C125" s="42"/>
      <x:c r="D125" s="42"/>
      <x:c r="E125" s="42"/>
      <x:c r="F125" s="42"/>
      <x:c r="G125" s="42"/>
      <x:c r="H125" s="42"/>
      <x:c r="I125" s="42"/>
      <x:c r="J125" s="42"/>
      <x:c r="K125" s="42"/>
      <x:c r="L125" s="42"/>
      <x:c r="M125" s="42"/>
    </x:row>
    <x:row r="126">
      <x:c r="A126" s="42"/>
      <x:c r="B126" s="42"/>
      <x:c r="C126" s="42"/>
      <x:c r="D126" s="42"/>
      <x:c r="E126" s="42"/>
      <x:c r="F126" s="42"/>
      <x:c r="G126" s="42"/>
      <x:c r="H126" s="42"/>
      <x:c r="I126" s="42"/>
      <x:c r="J126" s="42"/>
      <x:c r="K126" s="42"/>
      <x:c r="L126" s="42"/>
      <x:c r="M126" s="42"/>
    </x:row>
    <x:row r="127">
      <x:c r="A127" s="42"/>
      <x:c r="B127" s="42"/>
      <x:c r="C127" s="42"/>
      <x:c r="D127" s="42"/>
      <x:c r="E127" s="42"/>
      <x:c r="F127" s="42"/>
      <x:c r="G127" s="42"/>
      <x:c r="H127" s="42"/>
      <x:c r="I127" s="42"/>
      <x:c r="J127" s="42"/>
      <x:c r="K127" s="42"/>
      <x:c r="L127" s="42"/>
      <x:c r="M127" s="42"/>
    </x:row>
    <x:row r="128">
      <x:c r="A128" s="42"/>
      <x:c r="B128" s="42"/>
      <x:c r="C128" s="42"/>
      <x:c r="D128" s="42"/>
      <x:c r="E128" s="42"/>
      <x:c r="F128" s="42"/>
      <x:c r="G128" s="42"/>
      <x:c r="H128" s="42"/>
      <x:c r="I128" s="42"/>
      <x:c r="J128" s="42"/>
      <x:c r="K128" s="42"/>
      <x:c r="L128" s="42"/>
      <x:c r="M128" s="42"/>
    </x:row>
    <x:row r="129">
      <x:c r="A129" s="42"/>
      <x:c r="B129" s="42"/>
      <x:c r="C129" s="42"/>
      <x:c r="D129" s="42"/>
      <x:c r="E129" s="42"/>
      <x:c r="F129" s="42"/>
      <x:c r="G129" s="42"/>
      <x:c r="H129" s="42"/>
      <x:c r="I129" s="42"/>
      <x:c r="J129" s="42"/>
      <x:c r="K129" s="42"/>
      <x:c r="L129" s="42"/>
      <x:c r="M129" s="42"/>
    </x:row>
    <x:row r="130">
      <x:c r="A130" s="42"/>
      <x:c r="B130" s="42"/>
      <x:c r="C130" s="42"/>
      <x:c r="D130" s="42"/>
      <x:c r="E130" s="42"/>
      <x:c r="F130" s="42"/>
      <x:c r="G130" s="42"/>
      <x:c r="H130" s="42"/>
      <x:c r="I130" s="42"/>
      <x:c r="J130" s="42"/>
      <x:c r="K130" s="42"/>
      <x:c r="L130" s="42"/>
      <x:c r="M130" s="42"/>
    </x:row>
    <x:row r="131">
      <x:c r="A131" s="42"/>
      <x:c r="B131" s="42"/>
      <x:c r="C131" s="42"/>
      <x:c r="D131" s="42"/>
      <x:c r="E131" s="42"/>
      <x:c r="F131" s="42"/>
      <x:c r="G131" s="42"/>
      <x:c r="H131" s="42"/>
      <x:c r="I131" s="42"/>
      <x:c r="J131" s="42"/>
      <x:c r="K131" s="42"/>
      <x:c r="L131" s="42"/>
      <x:c r="M131" s="42"/>
    </x:row>
    <x:row r="132">
      <x:c r="A132" s="42"/>
      <x:c r="B132" s="42"/>
      <x:c r="C132" s="42"/>
      <x:c r="D132" s="42"/>
      <x:c r="E132" s="42"/>
      <x:c r="F132" s="42"/>
      <x:c r="G132" s="42"/>
      <x:c r="H132" s="42"/>
      <x:c r="I132" s="42"/>
      <x:c r="J132" s="42"/>
      <x:c r="K132" s="42"/>
      <x:c r="L132" s="42"/>
      <x:c r="M132" s="42"/>
    </x:row>
    <x:row r="133">
      <x:c r="A133" s="42"/>
      <x:c r="B133" s="42"/>
      <x:c r="C133" s="42"/>
      <x:c r="D133" s="42"/>
      <x:c r="E133" s="42"/>
      <x:c r="F133" s="42"/>
      <x:c r="G133" s="42"/>
      <x:c r="H133" s="42"/>
      <x:c r="I133" s="42"/>
      <x:c r="J133" s="42"/>
      <x:c r="K133" s="42"/>
      <x:c r="L133" s="42"/>
      <x:c r="M133" s="42"/>
    </x:row>
    <x:row r="134">
      <x:c r="A134" s="42"/>
      <x:c r="B134" s="42"/>
      <x:c r="C134" s="42"/>
      <x:c r="D134" s="42"/>
      <x:c r="E134" s="42"/>
      <x:c r="F134" s="42"/>
      <x:c r="G134" s="42"/>
      <x:c r="H134" s="42"/>
      <x:c r="I134" s="42"/>
      <x:c r="J134" s="42"/>
      <x:c r="K134" s="42"/>
      <x:c r="L134" s="42"/>
      <x:c r="M134" s="42"/>
    </x:row>
    <x:row r="135">
      <x:c r="A135" s="42"/>
      <x:c r="B135" s="42"/>
      <x:c r="C135" s="42"/>
      <x:c r="D135" s="42"/>
      <x:c r="E135" s="42"/>
      <x:c r="F135" s="42"/>
      <x:c r="G135" s="42"/>
      <x:c r="H135" s="42"/>
      <x:c r="I135" s="42"/>
      <x:c r="J135" s="42"/>
      <x:c r="K135" s="42"/>
      <x:c r="L135" s="42"/>
      <x:c r="M135" s="42"/>
    </x:row>
    <x:row r="136">
      <x:c r="A136" s="42"/>
      <x:c r="B136" s="42"/>
      <x:c r="C136" s="42"/>
      <x:c r="D136" s="42"/>
      <x:c r="E136" s="42"/>
      <x:c r="F136" s="42"/>
      <x:c r="G136" s="42"/>
      <x:c r="H136" s="42"/>
      <x:c r="I136" s="42"/>
      <x:c r="J136" s="42"/>
      <x:c r="K136" s="42"/>
      <x:c r="L136" s="42"/>
      <x:c r="M136" s="42"/>
    </x:row>
    <x:row r="137">
      <x:c r="A137" s="42"/>
      <x:c r="B137" s="42"/>
      <x:c r="C137" s="42"/>
      <x:c r="D137" s="42"/>
      <x:c r="E137" s="42"/>
      <x:c r="F137" s="42"/>
      <x:c r="G137" s="42"/>
      <x:c r="H137" s="42"/>
      <x:c r="I137" s="42"/>
      <x:c r="J137" s="42"/>
      <x:c r="K137" s="42"/>
      <x:c r="L137" s="42"/>
      <x:c r="M137" s="42"/>
    </x:row>
    <x:row r="138">
      <x:c r="A138" s="42"/>
      <x:c r="B138" s="42"/>
      <x:c r="C138" s="42"/>
      <x:c r="D138" s="42"/>
      <x:c r="E138" s="42"/>
      <x:c r="F138" s="42"/>
      <x:c r="G138" s="42"/>
      <x:c r="H138" s="42"/>
      <x:c r="I138" s="42"/>
      <x:c r="J138" s="42"/>
      <x:c r="K138" s="42"/>
      <x:c r="L138" s="42"/>
      <x:c r="M138" s="42"/>
    </x:row>
    <x:row r="139">
      <x:c r="A139" s="42"/>
      <x:c r="B139" s="42"/>
      <x:c r="C139" s="42"/>
      <x:c r="D139" s="42"/>
      <x:c r="E139" s="42"/>
      <x:c r="F139" s="42"/>
      <x:c r="G139" s="42"/>
      <x:c r="H139" s="42"/>
      <x:c r="I139" s="42"/>
      <x:c r="J139" s="42"/>
      <x:c r="K139" s="42"/>
      <x:c r="L139" s="42"/>
      <x:c r="M139" s="42"/>
    </x:row>
    <x:row r="140">
      <x:c r="A140" s="42"/>
      <x:c r="B140" s="42"/>
      <x:c r="C140" s="42"/>
      <x:c r="D140" s="42"/>
      <x:c r="E140" s="42"/>
      <x:c r="F140" s="42"/>
      <x:c r="G140" s="42"/>
      <x:c r="H140" s="42"/>
      <x:c r="I140" s="42"/>
      <x:c r="J140" s="42"/>
      <x:c r="K140" s="42"/>
      <x:c r="L140" s="42"/>
      <x:c r="M140" s="42"/>
    </x:row>
    <x:row r="141">
      <x:c r="A141" s="42"/>
      <x:c r="B141" s="42"/>
      <x:c r="C141" s="42"/>
      <x:c r="D141" s="42"/>
      <x:c r="E141" s="42"/>
      <x:c r="F141" s="42"/>
      <x:c r="G141" s="42"/>
      <x:c r="H141" s="42"/>
      <x:c r="I141" s="42"/>
      <x:c r="J141" s="42"/>
      <x:c r="K141" s="42"/>
      <x:c r="L141" s="42"/>
      <x:c r="M141" s="42"/>
    </x:row>
    <x:row r="142">
      <x:c r="A142" s="42"/>
      <x:c r="B142" s="42"/>
      <x:c r="C142" s="42"/>
      <x:c r="D142" s="42"/>
      <x:c r="E142" s="42"/>
      <x:c r="F142" s="42"/>
      <x:c r="G142" s="42"/>
      <x:c r="H142" s="42"/>
      <x:c r="I142" s="42"/>
      <x:c r="J142" s="42"/>
      <x:c r="K142" s="42"/>
      <x:c r="L142" s="42"/>
      <x:c r="M142" s="42"/>
    </x:row>
    <x:row r="143">
      <x:c r="A143" s="42"/>
      <x:c r="B143" s="42"/>
      <x:c r="C143" s="42"/>
      <x:c r="D143" s="42"/>
      <x:c r="E143" s="42"/>
      <x:c r="F143" s="42"/>
      <x:c r="G143" s="42"/>
      <x:c r="H143" s="42"/>
      <x:c r="I143" s="42"/>
      <x:c r="J143" s="42"/>
      <x:c r="K143" s="42"/>
      <x:c r="L143" s="42"/>
      <x:c r="M143" s="42"/>
    </x:row>
    <x:row r="144">
      <x:c r="A144" s="42"/>
      <x:c r="B144" s="42"/>
      <x:c r="C144" s="42"/>
      <x:c r="D144" s="42"/>
      <x:c r="E144" s="42"/>
      <x:c r="F144" s="42"/>
      <x:c r="G144" s="42"/>
      <x:c r="H144" s="42"/>
      <x:c r="I144" s="42"/>
      <x:c r="J144" s="42"/>
      <x:c r="K144" s="42"/>
      <x:c r="L144" s="42"/>
      <x:c r="M144" s="42"/>
    </x:row>
    <x:row r="145">
      <x:c r="A145" s="42"/>
      <x:c r="B145" s="42"/>
      <x:c r="C145" s="42"/>
      <x:c r="D145" s="42"/>
      <x:c r="E145" s="42"/>
      <x:c r="F145" s="42"/>
      <x:c r="G145" s="42"/>
      <x:c r="H145" s="42"/>
      <x:c r="I145" s="42"/>
      <x:c r="J145" s="42"/>
      <x:c r="K145" s="42"/>
      <x:c r="L145" s="42"/>
      <x:c r="M145" s="42"/>
    </x:row>
    <x:row r="146">
      <x:c r="A146" s="42"/>
      <x:c r="B146" s="42"/>
      <x:c r="C146" s="42"/>
      <x:c r="D146" s="42"/>
      <x:c r="E146" s="42"/>
      <x:c r="F146" s="42"/>
      <x:c r="G146" s="42"/>
      <x:c r="H146" s="42"/>
      <x:c r="I146" s="42"/>
      <x:c r="J146" s="42"/>
      <x:c r="K146" s="42"/>
      <x:c r="L146" s="42"/>
      <x:c r="M146" s="42"/>
    </x:row>
    <x:row r="147">
      <x:c r="A147" s="42"/>
      <x:c r="B147" s="42"/>
      <x:c r="C147" s="42"/>
      <x:c r="D147" s="42"/>
      <x:c r="E147" s="42"/>
      <x:c r="F147" s="42"/>
      <x:c r="G147" s="42"/>
      <x:c r="H147" s="42"/>
      <x:c r="I147" s="42"/>
      <x:c r="J147" s="42"/>
      <x:c r="K147" s="42"/>
      <x:c r="L147" s="42"/>
      <x:c r="M147" s="42"/>
    </x:row>
    <x:row r="148">
      <x:c r="A148" s="42"/>
      <x:c r="B148" s="42"/>
      <x:c r="C148" s="42"/>
      <x:c r="D148" s="42"/>
      <x:c r="E148" s="42"/>
      <x:c r="F148" s="42"/>
      <x:c r="G148" s="42"/>
      <x:c r="H148" s="42"/>
      <x:c r="I148" s="42"/>
      <x:c r="J148" s="42"/>
      <x:c r="K148" s="42"/>
      <x:c r="L148" s="42"/>
      <x:c r="M148" s="42"/>
    </x:row>
    <x:row r="149">
      <x:c r="A149" s="42"/>
      <x:c r="B149" s="42"/>
      <x:c r="C149" s="42"/>
      <x:c r="D149" s="42"/>
      <x:c r="E149" s="42"/>
      <x:c r="F149" s="42"/>
      <x:c r="G149" s="42"/>
      <x:c r="H149" s="42"/>
      <x:c r="I149" s="42"/>
      <x:c r="J149" s="42"/>
      <x:c r="K149" s="42"/>
      <x:c r="L149" s="42"/>
      <x:c r="M149" s="42"/>
    </x:row>
    <x:row r="150">
      <x:c r="A150" s="42"/>
      <x:c r="B150" s="42"/>
      <x:c r="C150" s="42"/>
      <x:c r="D150" s="42"/>
      <x:c r="E150" s="42"/>
      <x:c r="F150" s="42"/>
      <x:c r="G150" s="42"/>
      <x:c r="H150" s="42"/>
      <x:c r="I150" s="42"/>
      <x:c r="J150" s="42"/>
      <x:c r="K150" s="42"/>
      <x:c r="L150" s="42"/>
      <x:c r="M150" s="42"/>
    </x:row>
    <x:row r="151">
      <x:c r="A151" s="42"/>
      <x:c r="B151" s="42"/>
      <x:c r="C151" s="42"/>
      <x:c r="D151" s="42"/>
      <x:c r="E151" s="42"/>
      <x:c r="F151" s="42"/>
      <x:c r="G151" s="42"/>
      <x:c r="H151" s="42"/>
      <x:c r="I151" s="42"/>
      <x:c r="J151" s="42"/>
      <x:c r="K151" s="42"/>
      <x:c r="L151" s="42"/>
      <x:c r="M151" s="42"/>
    </x:row>
    <x:row r="152">
      <x:c r="A152" s="42"/>
      <x:c r="B152" s="42"/>
      <x:c r="C152" s="42"/>
      <x:c r="D152" s="42"/>
      <x:c r="E152" s="42"/>
      <x:c r="F152" s="42"/>
      <x:c r="G152" s="42"/>
      <x:c r="H152" s="42"/>
      <x:c r="I152" s="42"/>
      <x:c r="J152" s="42"/>
      <x:c r="K152" s="42"/>
      <x:c r="L152" s="42"/>
      <x:c r="M152" s="42"/>
    </x:row>
    <x:row r="153">
      <x:c r="A153" s="42"/>
      <x:c r="B153" s="42"/>
      <x:c r="C153" s="42"/>
      <x:c r="D153" s="42"/>
      <x:c r="E153" s="42"/>
      <x:c r="F153" s="42"/>
      <x:c r="G153" s="42"/>
      <x:c r="H153" s="42"/>
      <x:c r="I153" s="42"/>
      <x:c r="J153" s="42"/>
      <x:c r="K153" s="42"/>
      <x:c r="L153" s="42"/>
      <x:c r="M153" s="42"/>
    </x:row>
    <x:row r="154">
      <x:c r="A154" s="42"/>
      <x:c r="B154" s="42"/>
      <x:c r="C154" s="42"/>
      <x:c r="D154" s="42"/>
      <x:c r="E154" s="42"/>
      <x:c r="F154" s="42"/>
      <x:c r="G154" s="42"/>
      <x:c r="H154" s="42"/>
      <x:c r="I154" s="42"/>
      <x:c r="J154" s="42"/>
      <x:c r="K154" s="42"/>
      <x:c r="L154" s="42"/>
      <x:c r="M154" s="42"/>
    </x:row>
    <x:row r="155">
      <x:c r="A155" s="42"/>
      <x:c r="B155" s="42"/>
      <x:c r="C155" s="42"/>
      <x:c r="D155" s="42"/>
      <x:c r="E155" s="42"/>
      <x:c r="F155" s="42"/>
      <x:c r="G155" s="42"/>
      <x:c r="H155" s="42"/>
      <x:c r="I155" s="42"/>
      <x:c r="J155" s="42"/>
      <x:c r="K155" s="42"/>
      <x:c r="L155" s="42"/>
      <x:c r="M155" s="42"/>
    </x:row>
    <x:row r="156">
      <x:c r="A156" s="42"/>
      <x:c r="B156" s="42"/>
      <x:c r="C156" s="42"/>
      <x:c r="D156" s="42"/>
      <x:c r="E156" s="42"/>
      <x:c r="F156" s="42"/>
      <x:c r="G156" s="42"/>
      <x:c r="H156" s="42"/>
      <x:c r="I156" s="42"/>
      <x:c r="J156" s="42"/>
      <x:c r="K156" s="42"/>
      <x:c r="L156" s="42"/>
      <x:c r="M156" s="42"/>
    </x:row>
    <x:row r="157">
      <x:c r="A157" s="42"/>
      <x:c r="B157" s="42"/>
      <x:c r="C157" s="42"/>
      <x:c r="D157" s="42"/>
      <x:c r="E157" s="42"/>
      <x:c r="F157" s="42"/>
      <x:c r="G157" s="42"/>
      <x:c r="H157" s="42"/>
      <x:c r="I157" s="42"/>
      <x:c r="J157" s="42"/>
      <x:c r="K157" s="42"/>
      <x:c r="L157" s="42"/>
      <x:c r="M157" s="42"/>
    </x:row>
    <x:row r="158">
      <x:c r="A158" s="42"/>
      <x:c r="B158" s="42"/>
      <x:c r="C158" s="42"/>
      <x:c r="D158" s="42"/>
      <x:c r="E158" s="42"/>
      <x:c r="F158" s="42"/>
      <x:c r="G158" s="42"/>
      <x:c r="H158" s="42"/>
      <x:c r="I158" s="42"/>
      <x:c r="J158" s="42"/>
      <x:c r="K158" s="42"/>
      <x:c r="L158" s="42"/>
      <x:c r="M158" s="42"/>
    </x:row>
    <x:row r="159">
      <x:c r="A159" s="42"/>
      <x:c r="B159" s="42"/>
      <x:c r="C159" s="42"/>
      <x:c r="D159" s="42"/>
      <x:c r="E159" s="42"/>
      <x:c r="F159" s="42"/>
      <x:c r="G159" s="42"/>
      <x:c r="H159" s="42"/>
      <x:c r="I159" s="42"/>
      <x:c r="J159" s="42"/>
      <x:c r="K159" s="42"/>
      <x:c r="L159" s="42"/>
      <x:c r="M159" s="42"/>
    </x:row>
    <x:row r="160">
      <x:c r="A160" s="42"/>
      <x:c r="B160" s="42"/>
      <x:c r="C160" s="42"/>
      <x:c r="D160" s="42"/>
      <x:c r="E160" s="42"/>
      <x:c r="F160" s="42"/>
      <x:c r="G160" s="42"/>
      <x:c r="H160" s="42"/>
      <x:c r="I160" s="42"/>
      <x:c r="J160" s="42"/>
      <x:c r="K160" s="42"/>
      <x:c r="L160" s="42"/>
      <x:c r="M160" s="42"/>
    </x:row>
    <x:row r="161">
      <x:c r="A161" s="42"/>
      <x:c r="B161" s="42"/>
      <x:c r="C161" s="42"/>
      <x:c r="D161" s="42"/>
      <x:c r="E161" s="42"/>
      <x:c r="F161" s="42"/>
      <x:c r="G161" s="42"/>
      <x:c r="H161" s="42"/>
      <x:c r="I161" s="42"/>
      <x:c r="J161" s="42"/>
      <x:c r="K161" s="42"/>
      <x:c r="L161" s="42"/>
      <x:c r="M161" s="42"/>
    </x:row>
    <x:row r="162">
      <x:c r="A162" s="42"/>
      <x:c r="B162" s="42"/>
      <x:c r="C162" s="42"/>
      <x:c r="D162" s="42"/>
      <x:c r="E162" s="42"/>
      <x:c r="F162" s="42"/>
      <x:c r="G162" s="42"/>
      <x:c r="H162" s="42"/>
      <x:c r="I162" s="42"/>
      <x:c r="J162" s="42"/>
      <x:c r="K162" s="42"/>
      <x:c r="L162" s="42"/>
      <x:c r="M162" s="42"/>
    </x:row>
    <x:row r="163">
      <x:c r="A163" s="42"/>
      <x:c r="B163" s="42"/>
      <x:c r="C163" s="42"/>
      <x:c r="D163" s="42"/>
      <x:c r="E163" s="42"/>
      <x:c r="F163" s="42"/>
      <x:c r="G163" s="42"/>
      <x:c r="H163" s="42"/>
      <x:c r="I163" s="42"/>
      <x:c r="J163" s="42"/>
      <x:c r="K163" s="42"/>
      <x:c r="L163" s="42"/>
      <x:c r="M163" s="42"/>
    </x:row>
    <x:row r="164">
      <x:c r="A164" s="42"/>
      <x:c r="B164" s="42"/>
      <x:c r="C164" s="42"/>
      <x:c r="D164" s="42"/>
      <x:c r="E164" s="42"/>
      <x:c r="F164" s="42"/>
      <x:c r="G164" s="42"/>
      <x:c r="H164" s="42"/>
      <x:c r="I164" s="42"/>
      <x:c r="J164" s="42"/>
      <x:c r="K164" s="42"/>
      <x:c r="L164" s="42"/>
      <x:c r="M164" s="42"/>
    </x:row>
    <x:row r="165">
      <x:c r="A165" s="42"/>
      <x:c r="B165" s="42"/>
      <x:c r="C165" s="42"/>
      <x:c r="D165" s="42"/>
      <x:c r="E165" s="42"/>
      <x:c r="F165" s="42"/>
      <x:c r="G165" s="42"/>
      <x:c r="H165" s="42"/>
      <x:c r="I165" s="42"/>
      <x:c r="J165" s="42"/>
      <x:c r="K165" s="42"/>
      <x:c r="L165" s="42"/>
      <x:c r="M165" s="42"/>
    </x:row>
    <x:row r="166">
      <x:c r="A166" s="42"/>
      <x:c r="B166" s="42"/>
      <x:c r="C166" s="42"/>
      <x:c r="D166" s="42"/>
      <x:c r="E166" s="42"/>
      <x:c r="F166" s="42"/>
      <x:c r="G166" s="42"/>
      <x:c r="H166" s="42"/>
      <x:c r="I166" s="42"/>
      <x:c r="J166" s="42"/>
      <x:c r="K166" s="42"/>
      <x:c r="L166" s="42"/>
      <x:c r="M166" s="42"/>
    </x:row>
    <x:row r="167">
      <x:c r="A167" s="42"/>
      <x:c r="B167" s="42"/>
      <x:c r="C167" s="42"/>
      <x:c r="D167" s="42"/>
      <x:c r="E167" s="42"/>
      <x:c r="F167" s="42"/>
      <x:c r="G167" s="42"/>
      <x:c r="H167" s="42"/>
      <x:c r="I167" s="42"/>
      <x:c r="J167" s="42"/>
      <x:c r="K167" s="42"/>
      <x:c r="L167" s="42"/>
      <x:c r="M167" s="42"/>
    </x:row>
    <x:row r="168">
      <x:c r="A168" s="42"/>
      <x:c r="B168" s="42"/>
      <x:c r="C168" s="42"/>
      <x:c r="D168" s="42"/>
      <x:c r="E168" s="42"/>
      <x:c r="F168" s="42"/>
      <x:c r="G168" s="42"/>
      <x:c r="H168" s="42"/>
      <x:c r="I168" s="42"/>
      <x:c r="J168" s="42"/>
      <x:c r="K168" s="42"/>
      <x:c r="L168" s="42"/>
      <x:c r="M168" s="42"/>
    </x:row>
    <x:row r="169">
      <x:c r="A169" s="42"/>
      <x:c r="B169" s="42"/>
      <x:c r="C169" s="42"/>
      <x:c r="D169" s="42"/>
      <x:c r="E169" s="42"/>
      <x:c r="F169" s="42"/>
      <x:c r="G169" s="42"/>
      <x:c r="H169" s="42"/>
      <x:c r="I169" s="42"/>
      <x:c r="J169" s="42"/>
      <x:c r="K169" s="42"/>
      <x:c r="L169" s="42"/>
      <x:c r="M169" s="42"/>
    </x:row>
    <x:row r="170">
      <x:c r="A170" s="42"/>
      <x:c r="B170" s="42"/>
      <x:c r="C170" s="42"/>
      <x:c r="D170" s="42"/>
      <x:c r="E170" s="42"/>
      <x:c r="F170" s="42"/>
      <x:c r="G170" s="42"/>
      <x:c r="H170" s="42"/>
      <x:c r="I170" s="42"/>
      <x:c r="J170" s="42"/>
      <x:c r="K170" s="42"/>
      <x:c r="L170" s="42"/>
      <x:c r="M170" s="42"/>
    </x:row>
    <x:row r="171">
      <x:c r="A171" s="42"/>
      <x:c r="B171" s="42"/>
      <x:c r="C171" s="42"/>
      <x:c r="D171" s="42"/>
      <x:c r="E171" s="42"/>
      <x:c r="F171" s="42"/>
      <x:c r="G171" s="42"/>
      <x:c r="H171" s="42"/>
      <x:c r="I171" s="42"/>
      <x:c r="J171" s="42"/>
      <x:c r="K171" s="42"/>
      <x:c r="L171" s="42"/>
      <x:c r="M171" s="42"/>
    </x:row>
    <x:row r="172">
      <x:c r="A172" s="42"/>
      <x:c r="B172" s="42"/>
      <x:c r="C172" s="42"/>
      <x:c r="D172" s="42"/>
      <x:c r="E172" s="42"/>
      <x:c r="F172" s="42"/>
      <x:c r="G172" s="42"/>
      <x:c r="H172" s="42"/>
      <x:c r="I172" s="42"/>
      <x:c r="J172" s="42"/>
      <x:c r="K172" s="42"/>
      <x:c r="L172" s="42"/>
      <x:c r="M172" s="42"/>
    </x:row>
    <x:row r="173">
      <x:c r="A173" s="42"/>
      <x:c r="B173" s="42"/>
      <x:c r="C173" s="42"/>
      <x:c r="D173" s="42"/>
      <x:c r="E173" s="42"/>
      <x:c r="F173" s="42"/>
      <x:c r="G173" s="42"/>
      <x:c r="H173" s="42"/>
      <x:c r="I173" s="42"/>
      <x:c r="J173" s="42"/>
      <x:c r="K173" s="42"/>
      <x:c r="L173" s="42"/>
      <x:c r="M173" s="42"/>
    </x:row>
    <x:row r="174">
      <x:c r="A174" s="42"/>
      <x:c r="B174" s="42"/>
      <x:c r="C174" s="42"/>
      <x:c r="D174" s="42"/>
      <x:c r="E174" s="42"/>
      <x:c r="F174" s="42"/>
      <x:c r="G174" s="42"/>
      <x:c r="H174" s="42"/>
      <x:c r="I174" s="42"/>
      <x:c r="J174" s="42"/>
      <x:c r="K174" s="42"/>
      <x:c r="L174" s="42"/>
      <x:c r="M174" s="42"/>
    </x:row>
    <x:row r="175">
      <x:c r="A175" s="42"/>
      <x:c r="B175" s="42"/>
      <x:c r="C175" s="42"/>
      <x:c r="D175" s="42"/>
      <x:c r="E175" s="42"/>
      <x:c r="F175" s="42"/>
      <x:c r="G175" s="42"/>
      <x:c r="H175" s="42"/>
      <x:c r="I175" s="42"/>
      <x:c r="J175" s="42"/>
      <x:c r="K175" s="42"/>
      <x:c r="L175" s="42"/>
      <x:c r="M175" s="42"/>
    </x:row>
    <x:row r="176">
      <x:c r="A176" s="42"/>
      <x:c r="B176" s="42"/>
      <x:c r="C176" s="42"/>
      <x:c r="D176" s="42"/>
      <x:c r="E176" s="42"/>
      <x:c r="F176" s="42"/>
      <x:c r="G176" s="42"/>
      <x:c r="H176" s="42"/>
      <x:c r="I176" s="42"/>
      <x:c r="J176" s="42"/>
      <x:c r="K176" s="42"/>
      <x:c r="L176" s="42"/>
      <x:c r="M176" s="42"/>
    </x:row>
    <x:row r="177">
      <x:c r="A177" s="42"/>
      <x:c r="B177" s="42"/>
      <x:c r="C177" s="42"/>
      <x:c r="D177" s="42"/>
      <x:c r="E177" s="42"/>
      <x:c r="F177" s="42"/>
      <x:c r="G177" s="42"/>
      <x:c r="H177" s="42"/>
      <x:c r="I177" s="42"/>
      <x:c r="J177" s="42"/>
      <x:c r="K177" s="42"/>
      <x:c r="L177" s="42"/>
      <x:c r="M177" s="42"/>
    </x:row>
    <x:row r="178">
      <x:c r="A178" s="42"/>
      <x:c r="B178" s="42"/>
      <x:c r="C178" s="42"/>
      <x:c r="D178" s="42"/>
      <x:c r="E178" s="42"/>
      <x:c r="F178" s="42"/>
      <x:c r="G178" s="42"/>
      <x:c r="H178" s="42"/>
      <x:c r="I178" s="42"/>
      <x:c r="J178" s="42"/>
      <x:c r="K178" s="42"/>
      <x:c r="L178" s="42"/>
      <x:c r="M178" s="42"/>
    </x:row>
    <x:row r="179">
      <x:c r="A179" s="42"/>
      <x:c r="B179" s="42"/>
      <x:c r="C179" s="42"/>
      <x:c r="D179" s="42"/>
      <x:c r="E179" s="42"/>
      <x:c r="F179" s="42"/>
      <x:c r="G179" s="42"/>
      <x:c r="H179" s="42"/>
      <x:c r="I179" s="42"/>
      <x:c r="J179" s="42"/>
      <x:c r="K179" s="42"/>
      <x:c r="L179" s="42"/>
      <x:c r="M179" s="42"/>
    </x:row>
    <x:row r="180">
      <x:c r="A180" s="42"/>
      <x:c r="B180" s="42"/>
      <x:c r="C180" s="42"/>
      <x:c r="D180" s="42"/>
      <x:c r="E180" s="42"/>
      <x:c r="F180" s="42"/>
      <x:c r="G180" s="42"/>
      <x:c r="H180" s="42"/>
      <x:c r="I180" s="42"/>
      <x:c r="J180" s="42"/>
      <x:c r="K180" s="42"/>
      <x:c r="L180" s="42"/>
      <x:c r="M180" s="42"/>
    </x:row>
    <x:row r="181">
      <x:c r="A181" s="42"/>
      <x:c r="B181" s="42"/>
      <x:c r="C181" s="42"/>
      <x:c r="D181" s="42"/>
      <x:c r="E181" s="42"/>
      <x:c r="F181" s="42"/>
      <x:c r="G181" s="42"/>
      <x:c r="H181" s="42"/>
      <x:c r="I181" s="42"/>
      <x:c r="J181" s="42"/>
      <x:c r="K181" s="42"/>
      <x:c r="L181" s="42"/>
      <x:c r="M181" s="42"/>
    </x:row>
    <x:row r="182">
      <x:c r="A182" s="42"/>
      <x:c r="B182" s="42"/>
      <x:c r="C182" s="42"/>
      <x:c r="D182" s="42"/>
      <x:c r="E182" s="42"/>
      <x:c r="F182" s="42"/>
      <x:c r="G182" s="42"/>
      <x:c r="H182" s="42"/>
      <x:c r="I182" s="42"/>
      <x:c r="J182" s="42"/>
      <x:c r="K182" s="42"/>
      <x:c r="L182" s="42"/>
      <x:c r="M182" s="42"/>
    </x:row>
    <x:row r="183">
      <x:c r="A183" s="42"/>
      <x:c r="B183" s="42"/>
      <x:c r="C183" s="42"/>
      <x:c r="D183" s="42"/>
      <x:c r="E183" s="42"/>
      <x:c r="F183" s="42"/>
      <x:c r="G183" s="42"/>
      <x:c r="H183" s="42"/>
      <x:c r="I183" s="42"/>
      <x:c r="J183" s="42"/>
      <x:c r="K183" s="42"/>
      <x:c r="L183" s="42"/>
      <x:c r="M183" s="42"/>
    </x:row>
    <x:row r="184">
      <x:c r="A184" s="42"/>
      <x:c r="B184" s="42"/>
      <x:c r="C184" s="42"/>
      <x:c r="D184" s="42"/>
      <x:c r="E184" s="42"/>
      <x:c r="F184" s="42"/>
      <x:c r="G184" s="42"/>
      <x:c r="H184" s="42"/>
      <x:c r="I184" s="42"/>
      <x:c r="J184" s="42"/>
      <x:c r="K184" s="42"/>
      <x:c r="L184" s="42"/>
      <x:c r="M184" s="42"/>
    </x:row>
    <x:row r="185">
      <x:c r="A185" s="42"/>
      <x:c r="B185" s="42"/>
      <x:c r="C185" s="42"/>
      <x:c r="D185" s="42"/>
      <x:c r="E185" s="42"/>
      <x:c r="F185" s="42"/>
      <x:c r="G185" s="42"/>
      <x:c r="H185" s="42"/>
      <x:c r="I185" s="42"/>
      <x:c r="J185" s="42"/>
      <x:c r="K185" s="42"/>
      <x:c r="L185" s="42"/>
      <x:c r="M185" s="42"/>
    </x:row>
    <x:row r="186">
      <x:c r="A186" s="42"/>
      <x:c r="B186" s="42"/>
      <x:c r="C186" s="42"/>
      <x:c r="D186" s="42"/>
      <x:c r="E186" s="42"/>
      <x:c r="F186" s="42"/>
      <x:c r="G186" s="42"/>
      <x:c r="H186" s="42"/>
      <x:c r="I186" s="42"/>
      <x:c r="J186" s="42"/>
      <x:c r="K186" s="42"/>
      <x:c r="L186" s="42"/>
      <x:c r="M186" s="42"/>
    </x:row>
    <x:row r="187">
      <x:c r="A187" s="42"/>
      <x:c r="B187" s="42"/>
      <x:c r="C187" s="42"/>
      <x:c r="D187" s="42"/>
      <x:c r="E187" s="42"/>
      <x:c r="F187" s="42"/>
      <x:c r="G187" s="42"/>
      <x:c r="H187" s="42"/>
      <x:c r="I187" s="42"/>
      <x:c r="J187" s="42"/>
      <x:c r="K187" s="42"/>
      <x:c r="L187" s="42"/>
      <x:c r="M187" s="42"/>
    </x:row>
    <x:row r="188">
      <x:c r="A188" s="42"/>
      <x:c r="B188" s="42"/>
      <x:c r="C188" s="42"/>
      <x:c r="D188" s="42"/>
      <x:c r="E188" s="42"/>
      <x:c r="F188" s="42"/>
      <x:c r="G188" s="42"/>
      <x:c r="H188" s="42"/>
      <x:c r="I188" s="42"/>
      <x:c r="J188" s="42"/>
      <x:c r="K188" s="42"/>
      <x:c r="L188" s="42"/>
      <x:c r="M188" s="42"/>
    </x:row>
    <x:row r="189">
      <x:c r="A189" s="42"/>
      <x:c r="B189" s="42"/>
      <x:c r="C189" s="42"/>
      <x:c r="D189" s="42"/>
      <x:c r="E189" s="42"/>
      <x:c r="F189" s="42"/>
      <x:c r="G189" s="42"/>
      <x:c r="H189" s="42"/>
      <x:c r="I189" s="42"/>
      <x:c r="J189" s="42"/>
      <x:c r="K189" s="42"/>
      <x:c r="L189" s="42"/>
      <x:c r="M189" s="42"/>
    </x:row>
    <x:row r="190">
      <x:c r="A190" s="42"/>
      <x:c r="B190" s="42"/>
      <x:c r="C190" s="42"/>
      <x:c r="D190" s="42"/>
      <x:c r="E190" s="42"/>
      <x:c r="F190" s="42"/>
      <x:c r="G190" s="42"/>
      <x:c r="H190" s="42"/>
      <x:c r="I190" s="42"/>
      <x:c r="J190" s="42"/>
      <x:c r="K190" s="42"/>
      <x:c r="L190" s="42"/>
      <x:c r="M190" s="42"/>
    </x:row>
    <x:row r="191">
      <x:c r="A191" s="42"/>
      <x:c r="B191" s="42"/>
      <x:c r="C191" s="42"/>
      <x:c r="D191" s="42"/>
      <x:c r="E191" s="42"/>
      <x:c r="F191" s="42"/>
      <x:c r="G191" s="42"/>
      <x:c r="H191" s="42"/>
      <x:c r="I191" s="42"/>
      <x:c r="J191" s="42"/>
      <x:c r="K191" s="42"/>
      <x:c r="L191" s="42"/>
      <x:c r="M191" s="42"/>
    </x:row>
    <x:row r="192">
      <x:c r="A192" s="42"/>
      <x:c r="B192" s="42"/>
      <x:c r="C192" s="42"/>
      <x:c r="D192" s="42"/>
      <x:c r="E192" s="42"/>
      <x:c r="F192" s="42"/>
      <x:c r="G192" s="42"/>
      <x:c r="H192" s="42"/>
      <x:c r="I192" s="42"/>
      <x:c r="J192" s="42"/>
      <x:c r="K192" s="42"/>
      <x:c r="L192" s="42"/>
      <x:c r="M192" s="42"/>
    </x:row>
    <x:row r="193">
      <x:c r="A193" s="42"/>
      <x:c r="B193" s="42"/>
      <x:c r="C193" s="42"/>
      <x:c r="D193" s="42"/>
      <x:c r="E193" s="42"/>
      <x:c r="F193" s="42"/>
      <x:c r="G193" s="42"/>
      <x:c r="H193" s="42"/>
      <x:c r="I193" s="42"/>
      <x:c r="J193" s="42"/>
      <x:c r="K193" s="42"/>
      <x:c r="L193" s="42"/>
      <x:c r="M193" s="42"/>
    </x:row>
    <x:row r="194">
      <x:c r="A194" s="42"/>
      <x:c r="B194" s="42"/>
      <x:c r="C194" s="42"/>
      <x:c r="D194" s="42"/>
      <x:c r="E194" s="42"/>
      <x:c r="F194" s="42"/>
      <x:c r="G194" s="42"/>
      <x:c r="H194" s="42"/>
      <x:c r="I194" s="42"/>
      <x:c r="J194" s="42"/>
      <x:c r="K194" s="42"/>
      <x:c r="L194" s="42"/>
      <x:c r="M194" s="42"/>
    </x:row>
    <x:row r="195">
      <x:c r="A195" s="42"/>
      <x:c r="B195" s="42"/>
      <x:c r="C195" s="42"/>
      <x:c r="D195" s="42"/>
      <x:c r="E195" s="42"/>
      <x:c r="F195" s="42"/>
      <x:c r="G195" s="42"/>
      <x:c r="H195" s="42"/>
      <x:c r="I195" s="42"/>
      <x:c r="J195" s="42"/>
      <x:c r="K195" s="42"/>
      <x:c r="L195" s="42"/>
      <x:c r="M195" s="42"/>
    </x:row>
    <x:row r="196">
      <x:c r="A196" s="42"/>
      <x:c r="B196" s="42"/>
      <x:c r="C196" s="42"/>
      <x:c r="D196" s="42"/>
      <x:c r="E196" s="42"/>
      <x:c r="F196" s="42"/>
      <x:c r="G196" s="42"/>
      <x:c r="H196" s="42"/>
      <x:c r="I196" s="42"/>
      <x:c r="J196" s="42"/>
      <x:c r="K196" s="42"/>
      <x:c r="L196" s="42"/>
      <x:c r="M196" s="42"/>
    </x:row>
    <x:row r="197">
      <x:c r="A197" s="42"/>
      <x:c r="B197" s="42"/>
      <x:c r="C197" s="42"/>
      <x:c r="D197" s="42"/>
      <x:c r="E197" s="42"/>
      <x:c r="F197" s="42"/>
      <x:c r="G197" s="42"/>
      <x:c r="H197" s="42"/>
      <x:c r="I197" s="42"/>
      <x:c r="J197" s="42"/>
      <x:c r="K197" s="42"/>
      <x:c r="L197" s="42"/>
      <x:c r="M197" s="42"/>
    </x:row>
    <x:row r="198">
      <x:c r="A198" s="42"/>
      <x:c r="B198" s="42"/>
      <x:c r="C198" s="42"/>
      <x:c r="D198" s="42"/>
      <x:c r="E198" s="42"/>
      <x:c r="F198" s="42"/>
      <x:c r="G198" s="42"/>
      <x:c r="H198" s="42"/>
      <x:c r="I198" s="42"/>
      <x:c r="J198" s="42"/>
      <x:c r="K198" s="42"/>
      <x:c r="L198" s="42"/>
      <x:c r="M198" s="42"/>
    </x:row>
    <x:row r="199">
      <x:c r="A199" s="42"/>
      <x:c r="B199" s="42"/>
      <x:c r="C199" s="42"/>
      <x:c r="D199" s="42"/>
      <x:c r="E199" s="42"/>
      <x:c r="F199" s="42"/>
      <x:c r="G199" s="42"/>
      <x:c r="H199" s="42"/>
      <x:c r="I199" s="42"/>
      <x:c r="J199" s="42"/>
      <x:c r="K199" s="42"/>
      <x:c r="L199" s="42"/>
      <x:c r="M199" s="42"/>
    </x:row>
    <x:row r="200">
      <x:c r="A200" s="42"/>
      <x:c r="B200" s="42"/>
      <x:c r="C200" s="42"/>
      <x:c r="D200" s="42"/>
      <x:c r="E200" s="42"/>
      <x:c r="F200" s="42"/>
      <x:c r="G200" s="42"/>
      <x:c r="H200" s="42"/>
      <x:c r="I200" s="42"/>
      <x:c r="J200" s="42"/>
      <x:c r="K200" s="42"/>
      <x:c r="L200" s="42"/>
      <x:c r="M200" s="42"/>
    </x:row>
  </x:sheetData>
  <x:mergeCells>
    <x:mergeCell ref="A1:M1"/>
    <x:mergeCell ref="A2:M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.630001068115234" hidden="0" customWidth="1"/>
    <x:col min="2" max="2" width="11.880000114440918" hidden="0" customWidth="1"/>
    <x:col min="3" max="3" width="11.880000114440918" hidden="0" customWidth="1"/>
    <x:col min="4" max="4" width="11.880000114440918" hidden="0" customWidth="1"/>
    <x:col min="5" max="5" width="11.880000114440918" hidden="0" customWidth="1"/>
    <x:col min="6" max="6" width="11.880000114440918" hidden="0" customWidth="1"/>
    <x:col min="7" max="7" width="11.880000114440918" hidden="0" customWidth="1"/>
    <x:col min="8" max="8" width="11.880000114440918" hidden="0" customWidth="1"/>
    <x:col min="9" max="9" width="11.880000114440918" hidden="0" customWidth="1"/>
    <x:col min="10" max="10" width="11.880000114440918" hidden="0" customWidth="1"/>
    <x:col min="11" max="11" width="11.880000114440918" hidden="0" customWidth="1"/>
    <x:col min="12" max="12" width="11.880000114440918" hidden="0" customWidth="1"/>
    <x:col min="13" max="13" width="11.880000114440918" hidden="0" customWidth="1"/>
    <x:col min="15" max="15" width="27.5" hidden="0" customWidth="1"/>
    <x:col min="16" max="16" width="15" hidden="0" customWidth="1"/>
    <x:col min="17" max="17" width="15" hidden="0" customWidth="1"/>
    <x:col min="18" max="18" width="15" hidden="0" customWidth="1"/>
  </x:cols>
  <x:sheetData>
    <x:row r="1" ht="25.5" customHeight="1">
      <x:c r="A1" s="41" t="str">
        <x:v>Лист. Базовый сценарий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</x:row>
    <x:row r="2" ht="22.5" customHeight="1">
      <x:c r="A2" s="43" t="str">
        <x:v>Укрупненный сценарий для защиты: пользователи, платящие, доход, расходы, прибыль, рентабельность.</x:v>
      </x:c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</x:row>
    <x:row r="3">
      <x:c r="A3" s="42"/>
      <x:c r="B3" s="42"/>
      <x:c r="C3" s="42"/>
      <x:c r="D3" s="42"/>
      <x:c r="E3" s="42"/>
      <x:c r="F3" s="42"/>
      <x:c r="G3" s="42"/>
      <x:c r="H3" s="42"/>
      <x:c r="I3" s="42"/>
      <x:c r="J3" s="42"/>
      <x:c r="K3" s="42"/>
      <x:c r="L3" s="42"/>
      <x:c r="M3" s="42"/>
    </x:row>
    <x:row r="4">
      <x:c r="A4" s="44" t="str">
        <x:v>Показатель</x:v>
      </x:c>
      <x:c r="B4" s="44" t="str">
        <x:v>М1</x:v>
      </x:c>
      <x:c r="C4" s="44" t="str">
        <x:v>М2</x:v>
      </x:c>
      <x:c r="D4" s="44" t="str">
        <x:v>М3</x:v>
      </x:c>
      <x:c r="E4" s="44" t="str">
        <x:v>М4</x:v>
      </x:c>
      <x:c r="F4" s="44" t="str">
        <x:v>М5</x:v>
      </x:c>
      <x:c r="G4" s="44" t="str">
        <x:v>М6</x:v>
      </x:c>
      <x:c r="H4" s="44" t="str">
        <x:v>М7</x:v>
      </x:c>
      <x:c r="I4" s="44" t="str">
        <x:v>М8</x:v>
      </x:c>
      <x:c r="J4" s="44" t="str">
        <x:v>М9</x:v>
      </x:c>
      <x:c r="K4" s="44" t="str">
        <x:v>М10</x:v>
      </x:c>
      <x:c r="L4" s="44" t="str">
        <x:v>М11</x:v>
      </x:c>
      <x:c r="M4" s="44" t="str">
        <x:v>М12</x:v>
      </x:c>
      <x:c r="O4" s="13" t="str">
        <x:v>Сводка сценария</x:v>
      </x:c>
      <x:c r="P4" s="13" t="str">
        <x:v>2-3 мес.</x:v>
      </x:c>
      <x:c r="Q4" s="13" t="str">
        <x:v>3-6 мес.</x:v>
      </x:c>
      <x:c r="R4" s="13" t="str">
        <x:v>12 мес.</x:v>
      </x:c>
    </x:row>
    <x:row r="5">
      <x:c r="A5" s="45" t="str">
        <x:v>Посетители сайта</x:v>
      </x:c>
      <x:c r="B5" s="62" t="n">
        <x:f>ROUND('Исходные данные'!B43*'Исходные данные'!$H$12,0)</x:f>
        <x:v>1500</x:v>
      </x:c>
      <x:c r="C5" s="62" t="n">
        <x:f>ROUND('Исходные данные'!C43*'Исходные данные'!$H$12,0)</x:f>
        <x:v>3000</x:v>
      </x:c>
      <x:c r="D5" s="62" t="n">
        <x:f>ROUND('Исходные данные'!D43*'Исходные данные'!$H$12,0)</x:f>
        <x:v>6000</x:v>
      </x:c>
      <x:c r="E5" s="62" t="n">
        <x:f>ROUND('Исходные данные'!E43*'Исходные данные'!$H$12,0)</x:f>
        <x:v>10000</x:v>
      </x:c>
      <x:c r="F5" s="62" t="n">
        <x:f>ROUND('Исходные данные'!F43*'Исходные данные'!$H$12,0)</x:f>
        <x:v>18000</x:v>
      </x:c>
      <x:c r="G5" s="62" t="n">
        <x:f>ROUND('Исходные данные'!G43*'Исходные данные'!$H$12,0)</x:f>
        <x:v>30000</x:v>
      </x:c>
      <x:c r="H5" s="62" t="n">
        <x:f>ROUND('Исходные данные'!H43*'Исходные данные'!$H$12,0)</x:f>
        <x:v>45000</x:v>
      </x:c>
      <x:c r="I5" s="62" t="n">
        <x:f>ROUND('Исходные данные'!I43*'Исходные данные'!$H$12,0)</x:f>
        <x:v>65000</x:v>
      </x:c>
      <x:c r="J5" s="62" t="n">
        <x:f>ROUND('Исходные данные'!J43*'Исходные данные'!$H$12,0)</x:f>
        <x:v>85000</x:v>
      </x:c>
      <x:c r="K5" s="62" t="n">
        <x:f>ROUND('Исходные данные'!K43*'Исходные данные'!$H$12,0)</x:f>
        <x:v>110000</x:v>
      </x:c>
      <x:c r="L5" s="62" t="n">
        <x:f>ROUND('Исходные данные'!L43*'Исходные данные'!$H$12,0)</x:f>
        <x:v>130000</x:v>
      </x:c>
      <x:c r="M5" s="62" t="n">
        <x:f>ROUND('Исходные данные'!M43*'Исходные данные'!$H$12,0)</x:f>
        <x:v>150000</x:v>
      </x:c>
      <x:c r="O5" s="16" t="str">
        <x:v>Пользователи / активации</x:v>
      </x:c>
      <x:c r="P5" s="27" t="n">
        <x:f>SUM(C9:D9)</x:f>
        <x:v>781</x:v>
      </x:c>
      <x:c r="Q5" s="27" t="n">
        <x:f>SUM(D9:G9)</x:f>
        <x:v>6548</x:v>
      </x:c>
      <x:c r="R5" s="27" t="n">
        <x:f>SUM(B9:M9)</x:f>
        <x:v>87453</x:v>
      </x:c>
    </x:row>
    <x:row r="6">
      <x:c r="A6" s="45" t="str">
        <x:v>Site → Bot</x:v>
      </x:c>
      <x:c r="B6" s="63" t="n">
        <x:f>MIN(60%,'Исходные данные'!B44*SQRT('Исходные данные'!$H$13))</x:f>
        <x:v>0.22</x:v>
      </x:c>
      <x:c r="C6" s="63" t="n">
        <x:f>MIN(60%,'Исходные данные'!C44*SQRT('Исходные данные'!$H$13))</x:f>
        <x:v>0.23</x:v>
      </x:c>
      <x:c r="D6" s="63" t="n">
        <x:f>MIN(60%,'Исходные данные'!D44*SQRT('Исходные данные'!$H$13))</x:f>
        <x:v>0.24</x:v>
      </x:c>
      <x:c r="E6" s="63" t="n">
        <x:f>MIN(60%,'Исходные данные'!E44*SQRT('Исходные данные'!$H$13))</x:f>
        <x:v>0.25</x:v>
      </x:c>
      <x:c r="F6" s="63" t="n">
        <x:f>MIN(60%,'Исходные данные'!F44*SQRT('Исходные данные'!$H$13))</x:f>
        <x:v>0.26</x:v>
      </x:c>
      <x:c r="G6" s="63" t="n">
        <x:f>MIN(60%,'Исходные данные'!G44*SQRT('Исходные данные'!$H$13))</x:f>
        <x:v>0.27</x:v>
      </x:c>
      <x:c r="H6" s="63" t="n">
        <x:f>MIN(60%,'Исходные данные'!H44*SQRT('Исходные данные'!$H$13))</x:f>
        <x:v>0.28</x:v>
      </x:c>
      <x:c r="I6" s="63" t="n">
        <x:f>MIN(60%,'Исходные данные'!I44*SQRT('Исходные данные'!$H$13))</x:f>
        <x:v>0.29</x:v>
      </x:c>
      <x:c r="J6" s="63" t="n">
        <x:f>MIN(60%,'Исходные данные'!J44*SQRT('Исходные данные'!$H$13))</x:f>
        <x:v>0.3</x:v>
      </x:c>
      <x:c r="K6" s="63" t="n">
        <x:f>MIN(60%,'Исходные данные'!K44*SQRT('Исходные данные'!$H$13))</x:f>
        <x:v>0.31</x:v>
      </x:c>
      <x:c r="L6" s="63" t="n">
        <x:f>MIN(60%,'Исходные данные'!L44*SQRT('Исходные данные'!$H$13))</x:f>
        <x:v>0.32</x:v>
      </x:c>
      <x:c r="M6" s="63" t="n">
        <x:f>MIN(60%,'Исходные данные'!M44*SQRT('Исходные данные'!$H$13))</x:f>
        <x:v>0.33</x:v>
      </x:c>
      <x:c r="O6" s="16" t="str">
        <x:v>Платящие на конец</x:v>
      </x:c>
      <x:c r="P6" s="27" t="n">
        <x:f>D13</x:f>
        <x:v>22</x:v>
      </x:c>
      <x:c r="Q6" s="27" t="n">
        <x:f>G13</x:f>
        <x:v>197</x:v>
      </x:c>
      <x:c r="R6" s="27" t="n">
        <x:f>M13</x:f>
        <x:v>3077</x:v>
      </x:c>
    </x:row>
    <x:row r="7">
      <x:c r="A7" s="45" t="str">
        <x:v>Запуски бота</x:v>
      </x:c>
      <x:c r="B7" s="62" t="n">
        <x:f>ROUND(B5*B6,0)</x:f>
        <x:v>330</x:v>
      </x:c>
      <x:c r="C7" s="62" t="n">
        <x:f>ROUND(C5*C6,0)</x:f>
        <x:v>690</x:v>
      </x:c>
      <x:c r="D7" s="62" t="n">
        <x:f>ROUND(D5*D6,0)</x:f>
        <x:v>1440</x:v>
      </x:c>
      <x:c r="E7" s="62" t="n">
        <x:f>ROUND(E5*E6,0)</x:f>
        <x:v>2500</x:v>
      </x:c>
      <x:c r="F7" s="62" t="n">
        <x:f>ROUND(F5*F6,0)</x:f>
        <x:v>4680</x:v>
      </x:c>
      <x:c r="G7" s="62" t="n">
        <x:f>ROUND(G5*G6,0)</x:f>
        <x:v>8100</x:v>
      </x:c>
      <x:c r="H7" s="62" t="n">
        <x:f>ROUND(H5*H6,0)</x:f>
        <x:v>12600</x:v>
      </x:c>
      <x:c r="I7" s="62" t="n">
        <x:f>ROUND(I5*I6,0)</x:f>
        <x:v>18850</x:v>
      </x:c>
      <x:c r="J7" s="62" t="n">
        <x:f>ROUND(J5*J6,0)</x:f>
        <x:v>25500</x:v>
      </x:c>
      <x:c r="K7" s="62" t="n">
        <x:f>ROUND(K5*K6,0)</x:f>
        <x:v>34100</x:v>
      </x:c>
      <x:c r="L7" s="62" t="n">
        <x:f>ROUND(L5*L6,0)</x:f>
        <x:v>41600</x:v>
      </x:c>
      <x:c r="M7" s="62" t="n">
        <x:f>ROUND(M5*M6,0)</x:f>
        <x:v>49500</x:v>
      </x:c>
      <x:c r="O7" s="16" t="str">
        <x:v>Доход</x:v>
      </x:c>
      <x:c r="P7" s="26" t="n">
        <x:f>SUM(C15:D15)</x:f>
        <x:v>5213.29638375</x:v>
      </x:c>
      <x:c r="Q7" s="26" t="n">
        <x:f>SUM(D15:G15)</x:f>
        <x:v>63254.6627895</x:v>
      </x:c>
      <x:c r="R7" s="26" t="n">
        <x:f>SUM(B15:M15)</x:f>
        <x:v>1597875.3416193752</x:v>
      </x:c>
    </x:row>
    <x:row r="8">
      <x:c r="A8" s="45" t="str">
        <x:v>Activation rate</x:v>
      </x:c>
      <x:c r="B8" s="63" t="n">
        <x:f>MIN(70%,'Исходные данные'!B45*SQRT('Исходные данные'!$H$13))</x:f>
        <x:v>0.35</x:v>
      </x:c>
      <x:c r="C8" s="63" t="n">
        <x:f>MIN(70%,'Исходные данные'!C45*SQRT('Исходные данные'!$H$13))</x:f>
        <x:v>0.36</x:v>
      </x:c>
      <x:c r="D8" s="63" t="n">
        <x:f>MIN(70%,'Исходные данные'!D45*SQRT('Исходные данные'!$H$13))</x:f>
        <x:v>0.37</x:v>
      </x:c>
      <x:c r="E8" s="63" t="n">
        <x:f>MIN(70%,'Исходные данные'!E45*SQRT('Исходные данные'!$H$13))</x:f>
        <x:v>0.38</x:v>
      </x:c>
      <x:c r="F8" s="63" t="n">
        <x:f>MIN(70%,'Исходные данные'!F45*SQRT('Исходные данные'!$H$13))</x:f>
        <x:v>0.39</x:v>
      </x:c>
      <x:c r="G8" s="63" t="n">
        <x:f>MIN(70%,'Исходные данные'!G45*SQRT('Исходные данные'!$H$13))</x:f>
        <x:v>0.4</x:v>
      </x:c>
      <x:c r="H8" s="63" t="n">
        <x:f>MIN(70%,'Исходные данные'!H45*SQRT('Исходные данные'!$H$13))</x:f>
        <x:v>0.41</x:v>
      </x:c>
      <x:c r="I8" s="63" t="n">
        <x:f>MIN(70%,'Исходные данные'!I45*SQRT('Исходные данные'!$H$13))</x:f>
        <x:v>0.42</x:v>
      </x:c>
      <x:c r="J8" s="63" t="n">
        <x:f>MIN(70%,'Исходные данные'!J45*SQRT('Исходные данные'!$H$13))</x:f>
        <x:v>0.43</x:v>
      </x:c>
      <x:c r="K8" s="63" t="n">
        <x:f>MIN(70%,'Исходные данные'!K45*SQRT('Исходные данные'!$H$13))</x:f>
        <x:v>0.44</x:v>
      </x:c>
      <x:c r="L8" s="63" t="n">
        <x:f>MIN(70%,'Исходные данные'!L45*SQRT('Исходные данные'!$H$13))</x:f>
        <x:v>0.45</x:v>
      </x:c>
      <x:c r="M8" s="63" t="n">
        <x:f>MIN(70%,'Исходные данные'!M45*SQRT('Исходные данные'!$H$13))</x:f>
        <x:v>0.46</x:v>
      </x:c>
      <x:c r="O8" s="16" t="str">
        <x:v>Расходы</x:v>
      </x:c>
      <x:c r="P8" s="26" t="n">
        <x:f>SUM(C19:D19)</x:f>
        <x:v>206987.8049337625</x:v>
      </x:c>
      <x:c r="Q8" s="26" t="n">
        <x:f>SUM(D19:G19)</x:f>
        <x:v>673686.6998629849</x:v>
      </x:c>
      <x:c r="R8" s="26" t="n">
        <x:f>SUM(B19:M19)</x:f>
        <x:v>3280067.212198206</x:v>
      </x:c>
    </x:row>
    <x:row r="9">
      <x:c r="A9" s="45" t="str">
        <x:v>Активированные пользователи</x:v>
      </x:c>
      <x:c r="B9" s="62" t="n">
        <x:f>ROUND(B7*B8,0)</x:f>
        <x:v>115</x:v>
      </x:c>
      <x:c r="C9" s="62" t="n">
        <x:f>ROUND(C7*C8,0)</x:f>
        <x:v>248</x:v>
      </x:c>
      <x:c r="D9" s="62" t="n">
        <x:f>ROUND(D7*D8,0)</x:f>
        <x:v>533</x:v>
      </x:c>
      <x:c r="E9" s="62" t="n">
        <x:f>ROUND(E7*E8,0)</x:f>
        <x:v>950</x:v>
      </x:c>
      <x:c r="F9" s="62" t="n">
        <x:f>ROUND(F7*F8,0)</x:f>
        <x:v>1825</x:v>
      </x:c>
      <x:c r="G9" s="62" t="n">
        <x:f>ROUND(G7*G8,0)</x:f>
        <x:v>3240</x:v>
      </x:c>
      <x:c r="H9" s="62" t="n">
        <x:f>ROUND(H7*H8,0)</x:f>
        <x:v>5166</x:v>
      </x:c>
      <x:c r="I9" s="62" t="n">
        <x:f>ROUND(I7*I8,0)</x:f>
        <x:v>7917</x:v>
      </x:c>
      <x:c r="J9" s="62" t="n">
        <x:f>ROUND(J7*J8,0)</x:f>
        <x:v>10965</x:v>
      </x:c>
      <x:c r="K9" s="62" t="n">
        <x:f>ROUND(K7*K8,0)</x:f>
        <x:v>15004</x:v>
      </x:c>
      <x:c r="L9" s="62" t="n">
        <x:f>ROUND(L7*L8,0)</x:f>
        <x:v>18720</x:v>
      </x:c>
      <x:c r="M9" s="62" t="n">
        <x:f>ROUND(M7*M8,0)</x:f>
        <x:v>22770</x:v>
      </x:c>
      <x:c r="O9" s="16" t="str">
        <x:v>Прибыль</x:v>
      </x:c>
      <x:c r="P9" s="26" t="n">
        <x:f>SUM(C20:D20)</x:f>
        <x:v>-201774.50855001248</x:v>
      </x:c>
      <x:c r="Q9" s="26" t="n">
        <x:f>SUM(D20:G20)</x:f>
        <x:v>-610432.0370734851</x:v>
      </x:c>
      <x:c r="R9" s="26" t="n">
        <x:f>SUM(B20:M20)</x:f>
        <x:v>-1682191.8705788315</x:v>
      </x:c>
    </x:row>
    <x:row r="10">
      <x:c r="A10" s="45" t="str">
        <x:v>Paid conversion from activated</x:v>
      </x:c>
      <x:c r="B10" s="63" t="n">
        <x:f>MIN(20%,('Исходные данные'!B46+'Исходные данные'!B47+'Исходные данные'!B48)*'Исходные данные'!$H$13)</x:f>
        <x:v>0.021500000000000002</x:v>
      </x:c>
      <x:c r="C10" s="63" t="n">
        <x:f>MIN(20%,('Исходные данные'!C46+'Исходные данные'!C47+'Исходные данные'!C48)*'Исходные данные'!$H$13)</x:f>
        <x:v>0.0246</x:v>
      </x:c>
      <x:c r="D10" s="63" t="n">
        <x:f>MIN(20%,('Исходные данные'!D46+'Исходные данные'!D47+'Исходные данные'!D48)*'Исходные данные'!$H$13)</x:f>
        <x:v>0.0277</x:v>
      </x:c>
      <x:c r="E10" s="63" t="n">
        <x:f>MIN(20%,('Исходные данные'!E46+'Исходные данные'!E47+'Исходные данные'!E48)*'Исходные данные'!$H$13)</x:f>
        <x:v>0.0293</x:v>
      </x:c>
      <x:c r="F10" s="63" t="n">
        <x:f>MIN(20%,('Исходные данные'!F46+'Исходные данные'!F47+'Исходные данные'!F48)*'Исходные данные'!$H$13)</x:f>
        <x:v>0.0309</x:v>
      </x:c>
      <x:c r="G10" s="63" t="n">
        <x:f>MIN(20%,('Исходные данные'!G46+'Исходные данные'!G47+'Исходные данные'!G48)*'Исходные данные'!$H$13)</x:f>
        <x:v>0.0335</x:v>
      </x:c>
      <x:c r="H10" s="63" t="n">
        <x:f>MIN(20%,('Исходные данные'!H46+'Исходные данные'!H47+'Исходные данные'!H48)*'Исходные данные'!$H$13)</x:f>
        <x:v>0.0351</x:v>
      </x:c>
      <x:c r="I10" s="63" t="n">
        <x:f>MIN(20%,('Исходные данные'!I46+'Исходные данные'!I47+'Исходные данные'!I48)*'Исходные данные'!$H$13)</x:f>
        <x:v>0.0377</x:v>
      </x:c>
      <x:c r="J10" s="63" t="n">
        <x:f>MIN(20%,('Исходные данные'!J46+'Исходные данные'!J47+'Исходные данные'!J48)*'Исходные данные'!$H$13)</x:f>
        <x:v>0.0393</x:v>
      </x:c>
      <x:c r="K10" s="63" t="n">
        <x:f>MIN(20%,('Исходные данные'!K46+'Исходные данные'!K47+'Исходные данные'!K48)*'Исходные данные'!$H$13)</x:f>
        <x:v>0.0419</x:v>
      </x:c>
      <x:c r="L10" s="63" t="n">
        <x:f>MIN(20%,('Исходные данные'!L46+'Исходные данные'!L47+'Исходные данные'!L48)*'Исходные данные'!$H$13)</x:f>
        <x:v>0.0435</x:v>
      </x:c>
      <x:c r="M10" s="63" t="n">
        <x:f>MIN(20%,('Исходные данные'!M46+'Исходные данные'!M47+'Исходные данные'!M48)*'Исходные данные'!$H$13)</x:f>
        <x:v>0.045099999999999994</x:v>
      </x:c>
      <x:c r="O10" s="16" t="str">
        <x:v>Рентабельность</x:v>
      </x:c>
      <x:c r="P10" s="40" t="n">
        <x:f>IFERROR(P9/P7,0)</x:f>
        <x:v>-38.7038245473535</x:v>
      </x:c>
      <x:c r="Q10" s="40" t="n">
        <x:f>IFERROR(Q9/Q7,0)</x:f>
        <x:v>-9.650387973846161</x:v>
      </x:c>
      <x:c r="R10" s="40" t="n">
        <x:f>IFERROR(R9/R7,0)</x:f>
        <x:v>-1.0527679017025229</x:v>
      </x:c>
    </x:row>
    <x:row r="11">
      <x:c r="A11" s="45" t="str">
        <x:v>New paying gross</x:v>
      </x:c>
      <x:c r="B11" s="62" t="n">
        <x:f>ROUND(B9*B10,0)</x:f>
        <x:v>2</x:v>
      </x:c>
      <x:c r="C11" s="62" t="n">
        <x:f>ROUND(C9*C10,0)</x:f>
        <x:v>6</x:v>
      </x:c>
      <x:c r="D11" s="62" t="n">
        <x:f>ROUND(D9*D10,0)</x:f>
        <x:v>15</x:v>
      </x:c>
      <x:c r="E11" s="62" t="n">
        <x:f>ROUND(E9*E10,0)</x:f>
        <x:v>28</x:v>
      </x:c>
      <x:c r="F11" s="62" t="n">
        <x:f>ROUND(F9*F10,0)</x:f>
        <x:v>56</x:v>
      </x:c>
      <x:c r="G11" s="62" t="n">
        <x:f>ROUND(G9*G10,0)</x:f>
        <x:v>109</x:v>
      </x:c>
      <x:c r="H11" s="62" t="n">
        <x:f>ROUND(H9*H10,0)</x:f>
        <x:v>181</x:v>
      </x:c>
      <x:c r="I11" s="62" t="n">
        <x:f>ROUND(I9*I10,0)</x:f>
        <x:v>298</x:v>
      </x:c>
      <x:c r="J11" s="62" t="n">
        <x:f>ROUND(J9*J10,0)</x:f>
        <x:v>431</x:v>
      </x:c>
      <x:c r="K11" s="62" t="n">
        <x:f>ROUND(K9*K10,0)</x:f>
        <x:v>629</x:v>
      </x:c>
      <x:c r="L11" s="62" t="n">
        <x:f>ROUND(L9*L10,0)</x:f>
        <x:v>814</x:v>
      </x:c>
      <x:c r="M11" s="62" t="n">
        <x:f>ROUND(M9*M10,0)</x:f>
        <x:v>1027</x:v>
      </x:c>
      <x:c r="O11" s="16" t="str">
        <x:v>Мин. cash gap</x:v>
      </x:c>
      <x:c r="P11" s="26" t="n">
        <x:f>MIN(C23:D23)</x:f>
        <x:v>-270483.47578668</x:v>
      </x:c>
      <x:c r="Q11" s="26" t="n">
        <x:f>MIN(D23:G23)</x:f>
        <x:v>-769266.8732568226</x:v>
      </x:c>
      <x:c r="R11" s="26" t="n">
        <x:f>MIN(B23:M23)</x:f>
        <x:v>-1682191.8705788315</x:v>
      </x:c>
    </x:row>
    <x:row r="12">
      <x:c r="A12" s="45" t="str">
        <x:v>Blended churn</x:v>
      </x:c>
      <x:c r="B12" s="63" t="n">
        <x:f>MIN(35%,AVERAGE('Исходные данные'!B51:B53)*'Исходные данные'!$H$14)</x:f>
        <x:v>0.14666666666666667</x:v>
      </x:c>
      <x:c r="C12" s="63" t="n">
        <x:f>MIN(35%,AVERAGE('Исходные данные'!C51:C53)*'Исходные данные'!$H$14)</x:f>
        <x:v>0.1366666666666667</x:v>
      </x:c>
      <x:c r="D12" s="63" t="n">
        <x:f>MIN(35%,AVERAGE('Исходные данные'!D51:D53)*'Исходные данные'!$H$14)</x:f>
        <x:v>0.12666666666666668</x:v>
      </x:c>
      <x:c r="E12" s="63" t="n">
        <x:f>MIN(35%,AVERAGE('Исходные данные'!E51:E53)*'Исходные данные'!$H$14)</x:f>
        <x:v>0.12333333333333334</x:v>
      </x:c>
      <x:c r="F12" s="63" t="n">
        <x:f>MIN(35%,AVERAGE('Исходные данные'!F51:F53)*'Исходные данные'!$H$14)</x:f>
        <x:v>0.11333333333333333</x:v>
      </x:c>
      <x:c r="G12" s="63" t="n">
        <x:f>MIN(35%,AVERAGE('Исходные данные'!G51:G53)*'Исходные данные'!$H$14)</x:f>
        <x:v>0.10333333333333333</x:v>
      </x:c>
      <x:c r="H12" s="63" t="n">
        <x:f>MIN(35%,AVERAGE('Исходные данные'!H51:H53)*'Исходные данные'!$H$14)</x:f>
        <x:v>0.09999999999999999</x:v>
      </x:c>
      <x:c r="I12" s="63" t="n">
        <x:f>MIN(35%,AVERAGE('Исходные данные'!I51:I53)*'Исходные данные'!$H$14)</x:f>
        <x:v>0.09333333333333334</x:v>
      </x:c>
      <x:c r="J12" s="63" t="n">
        <x:f>MIN(35%,AVERAGE('Исходные данные'!J51:J53)*'Исходные данные'!$H$14)</x:f>
        <x:v>0.09000000000000001</x:v>
      </x:c>
      <x:c r="K12" s="63" t="n">
        <x:f>MIN(35%,AVERAGE('Исходные данные'!K51:K53)*'Исходные данные'!$H$14)</x:f>
        <x:v>0.09000000000000001</x:v>
      </x:c>
      <x:c r="L12" s="63" t="n">
        <x:f>MIN(35%,AVERAGE('Исходные данные'!L51:L53)*'Исходные данные'!$H$14)</x:f>
        <x:v>0.08</x:v>
      </x:c>
      <x:c r="M12" s="63" t="n">
        <x:f>MIN(35%,AVERAGE('Исходные данные'!M51:M53)*'Исходные данные'!$H$14)</x:f>
        <x:v>0.08</x:v>
      </x:c>
      <x:c r="O12" s="16" t="str">
        <x:v>Вывод</x:v>
      </x:c>
      <x:c r="P12" s="16" t="str">
        <x:f>IF(P9&gt;0,"положительная динамика","требуется доработка воронки")</x:f>
        <x:v>требуется доработка воронки</x:v>
      </x:c>
      <x:c r="Q12" s="16" t="str">
        <x:f>IF(Q9&gt;0,"можно масштабировать","нужны ручные продажи и retention")</x:f>
        <x:v>нужны ручные продажи и retention</x:v>
      </x:c>
      <x:c r="R12" s="16" t="str">
        <x:f>IF(R9&gt;0,"инвест-привлекательно","нужен грант/финансирование для разгона")</x:f>
        <x:v>нужен грант/финансирование для разгона</x:v>
      </x:c>
    </x:row>
    <x:row r="13">
      <x:c r="A13" s="45" t="str">
        <x:v>Paying clients EOM</x:v>
      </x:c>
      <x:c r="B13" s="62" t="n">
        <x:f>B11</x:f>
        <x:v>2</x:v>
      </x:c>
      <x:c r="C13" s="62" t="n">
        <x:f>ROUND(B13*(1-C12)+C11,0)</x:f>
        <x:v>8</x:v>
      </x:c>
      <x:c r="D13" s="62" t="n">
        <x:f>ROUND(C13*(1-D12)+D11,0)</x:f>
        <x:v>22</x:v>
      </x:c>
      <x:c r="E13" s="62" t="n">
        <x:f>ROUND(D13*(1-E12)+E11,0)</x:f>
        <x:v>47</x:v>
      </x:c>
      <x:c r="F13" s="62" t="n">
        <x:f>ROUND(E13*(1-F12)+F11,0)</x:f>
        <x:v>98</x:v>
      </x:c>
      <x:c r="G13" s="62" t="n">
        <x:f>ROUND(F13*(1-G12)+G11,0)</x:f>
        <x:v>197</x:v>
      </x:c>
      <x:c r="H13" s="62" t="n">
        <x:f>ROUND(G13*(1-H12)+H11,0)</x:f>
        <x:v>358</x:v>
      </x:c>
      <x:c r="I13" s="62" t="n">
        <x:f>ROUND(H13*(1-I12)+I11,0)</x:f>
        <x:v>623</x:v>
      </x:c>
      <x:c r="J13" s="62" t="n">
        <x:f>ROUND(I13*(1-J12)+J11,0)</x:f>
        <x:v>998</x:v>
      </x:c>
      <x:c r="K13" s="62" t="n">
        <x:f>ROUND(J13*(1-K12)+K11,0)</x:f>
        <x:v>1537</x:v>
      </x:c>
      <x:c r="L13" s="62" t="n">
        <x:f>ROUND(K13*(1-L12)+L11,0)</x:f>
        <x:v>2228</x:v>
      </x:c>
      <x:c r="M13" s="62" t="n">
        <x:f>ROUND(L13*(1-M12)+M11,0)</x:f>
        <x:v>3077</x:v>
      </x:c>
    </x:row>
    <x:row r="14">
      <x:c r="A14" s="45" t="str">
        <x:v>ARPU</x:v>
      </x:c>
      <x:c r="B14" s="54" t="n">
        <x:f>(('Исходные данные'!$H$6*45%)+('Исходные данные'!$H$7*45%)+('Исходные данные'!$H$8*10%))*(1+'Исходные данные'!$B$26)*'Исходные данные'!$H$16</x:f>
        <x:v>173.776546125</x:v>
      </x:c>
      <x:c r="C14" s="54" t="n">
        <x:f>(('Исходные данные'!$H$6*45%)+('Исходные данные'!$H$7*45%)+('Исходные данные'!$H$8*10%))*(1+'Исходные данные'!$B$26)*'Исходные данные'!$H$16</x:f>
        <x:v>173.776546125</x:v>
      </x:c>
      <x:c r="D14" s="54" t="n">
        <x:f>(('Исходные данные'!$H$6*45%)+('Исходные данные'!$H$7*45%)+('Исходные данные'!$H$8*10%))*(1+'Исходные данные'!$B$26)*'Исходные данные'!$H$16</x:f>
        <x:v>173.776546125</x:v>
      </x:c>
      <x:c r="E14" s="54" t="n">
        <x:f>(('Исходные данные'!$H$6*45%)+('Исходные данные'!$H$7*45%)+('Исходные данные'!$H$8*10%))*(1+'Исходные данные'!$B$26)*'Исходные данные'!$H$16</x:f>
        <x:v>173.776546125</x:v>
      </x:c>
      <x:c r="F14" s="54" t="n">
        <x:f>(('Исходные данные'!$H$6*45%)+('Исходные данные'!$H$7*45%)+('Исходные данные'!$H$8*10%))*(1+'Исходные данные'!$B$26)*'Исходные данные'!$H$16</x:f>
        <x:v>173.776546125</x:v>
      </x:c>
      <x:c r="G14" s="54" t="n">
        <x:f>(('Исходные данные'!$H$6*45%)+('Исходные данные'!$H$7*45%)+('Исходные данные'!$H$8*10%))*(1+'Исходные данные'!$B$26)*'Исходные данные'!$H$16</x:f>
        <x:v>173.776546125</x:v>
      </x:c>
      <x:c r="H14" s="54" t="n">
        <x:f>(('Исходные данные'!$H$6*45%)+('Исходные данные'!$H$7*45%)+('Исходные данные'!$H$8*10%))*(1+'Исходные данные'!$B$26)*'Исходные данные'!$H$16</x:f>
        <x:v>173.776546125</x:v>
      </x:c>
      <x:c r="I14" s="54" t="n">
        <x:f>(('Исходные данные'!$H$6*45%)+('Исходные данные'!$H$7*45%)+('Исходные данные'!$H$8*10%))*(1+'Исходные данные'!$B$26)*'Исходные данные'!$H$16</x:f>
        <x:v>173.776546125</x:v>
      </x:c>
      <x:c r="J14" s="54" t="n">
        <x:f>(('Исходные данные'!$H$6*45%)+('Исходные данные'!$H$7*45%)+('Исходные данные'!$H$8*10%))*(1+'Исходные данные'!$B$26)*'Исходные данные'!$H$16</x:f>
        <x:v>173.776546125</x:v>
      </x:c>
      <x:c r="K14" s="54" t="n">
        <x:f>(('Исходные данные'!$H$6*45%)+('Исходные данные'!$H$7*45%)+('Исходные данные'!$H$8*10%))*(1+'Исходные данные'!$B$26)*'Исходные данные'!$H$16</x:f>
        <x:v>173.776546125</x:v>
      </x:c>
      <x:c r="L14" s="54" t="n">
        <x:f>(('Исходные данные'!$H$6*45%)+('Исходные данные'!$H$7*45%)+('Исходные данные'!$H$8*10%))*(1+'Исходные данные'!$B$26)*'Исходные данные'!$H$16</x:f>
        <x:v>173.776546125</x:v>
      </x:c>
      <x:c r="M14" s="54" t="n">
        <x:f>(('Исходные данные'!$H$6*45%)+('Исходные данные'!$H$7*45%)+('Исходные данные'!$H$8*10%))*(1+'Исходные данные'!$B$26)*'Исходные данные'!$H$16</x:f>
        <x:v>173.776546125</x:v>
      </x:c>
    </x:row>
    <x:row r="15">
      <x:c r="A15" s="45" t="str">
        <x:v>Revenue</x:v>
      </x:c>
      <x:c r="B15" s="54" t="n">
        <x:f>B13*B14</x:f>
        <x:v>347.55309225</x:v>
      </x:c>
      <x:c r="C15" s="54" t="n">
        <x:f>C13*C14</x:f>
        <x:v>1390.212369</x:v>
      </x:c>
      <x:c r="D15" s="54" t="n">
        <x:f>D13*D14</x:f>
        <x:v>3823.0840147500003</x:v>
      </x:c>
      <x:c r="E15" s="54" t="n">
        <x:f>E13*E14</x:f>
        <x:v>8167.497667875001</x:v>
      </x:c>
      <x:c r="F15" s="54" t="n">
        <x:f>F13*F14</x:f>
        <x:v>17030.101520250002</x:v>
      </x:c>
      <x:c r="G15" s="54" t="n">
        <x:f>G13*G14</x:f>
        <x:v>34233.979586625</x:v>
      </x:c>
      <x:c r="H15" s="54" t="n">
        <x:f>H13*H14</x:f>
        <x:v>62212.00351275</x:v>
      </x:c>
      <x:c r="I15" s="54" t="n">
        <x:f>I13*I14</x:f>
        <x:v>108262.788235875</x:v>
      </x:c>
      <x:c r="J15" s="54" t="n">
        <x:f>J13*J14</x:f>
        <x:v>173428.99303275</x:v>
      </x:c>
      <x:c r="K15" s="54" t="n">
        <x:f>K13*K14</x:f>
        <x:v>267094.55139412504</x:v>
      </x:c>
      <x:c r="L15" s="54" t="n">
        <x:f>L13*L14</x:f>
        <x:v>387174.14476650005</x:v>
      </x:c>
      <x:c r="M15" s="54" t="n">
        <x:f>M13*M14</x:f>
        <x:v>534710.432426625</x:v>
      </x:c>
    </x:row>
    <x:row r="16">
      <x:c r="A16" s="45" t="str">
        <x:v>Variable costs</x:v>
      </x:c>
      <x:c r="B16" s="54" t="n">
        <x:f>(B13*((45%*'Исходные данные'!$I$6+45%*'Исходные данные'!$I$7+10%*'Исходные данные'!$I$8)*'Исходные данные'!$B$14+'Исходные данные'!$B$19+'Исходные данные'!$B$20))+B15*'Исходные данные'!$B$25</x:f>
        <x:v>85.6671433825</x:v>
      </x:c>
      <x:c r="C16" s="54" t="n">
        <x:f>(C13*((45%*'Исходные данные'!$I$6+45%*'Исходные данные'!$I$7+10%*'Исходные данные'!$I$8)*'Исходные данные'!$B$14+'Исходные данные'!$B$19+'Исходные данные'!$B$20))+C15*'Исходные данные'!$B$25</x:f>
        <x:v>342.66857353</x:v>
      </x:c>
      <x:c r="D16" s="54" t="n">
        <x:f>(D13*((45%*'Исходные данные'!$I$6+45%*'Исходные данные'!$I$7+10%*'Исходные данные'!$I$8)*'Исходные данные'!$B$14+'Исходные данные'!$B$19+'Исходные данные'!$B$20))+D15*'Исходные данные'!$B$25</x:f>
        <x:v>942.3385772075001</x:v>
      </x:c>
      <x:c r="E16" s="54" t="n">
        <x:f>(E13*((45%*'Исходные данные'!$I$6+45%*'Исходные данные'!$I$7+10%*'Исходные данные'!$I$8)*'Исходные данные'!$B$14+'Исходные данные'!$B$19+'Исходные данные'!$B$20))+E15*'Исходные данные'!$B$25</x:f>
        <x:v>2013.17786948875</x:v>
      </x:c>
      <x:c r="F16" s="54" t="n">
        <x:f>(F13*((45%*'Исходные данные'!$I$6+45%*'Исходные данные'!$I$7+10%*'Исходные данные'!$I$8)*'Исходные данные'!$B$14+'Исходные данные'!$B$19+'Исходные данные'!$B$20))+F15*'Исходные данные'!$B$25</x:f>
        <x:v>4197.6900257425</x:v>
      </x:c>
      <x:c r="G16" s="54" t="n">
        <x:f>(G13*((45%*'Исходные данные'!$I$6+45%*'Исходные данные'!$I$7+10%*'Исходные данные'!$I$8)*'Исходные данные'!$B$14+'Исходные данные'!$B$19+'Исходные данные'!$B$20))+G15*'Исходные данные'!$B$25</x:f>
        <x:v>8438.21362317625</x:v>
      </x:c>
      <x:c r="H16" s="54" t="n">
        <x:f>(H13*((45%*'Исходные данные'!$I$6+45%*'Исходные данные'!$I$7+10%*'Исходные данные'!$I$8)*'Исходные данные'!$B$14+'Исходные данные'!$B$19+'Исходные данные'!$B$20))+H15*'Исходные данные'!$B$25</x:f>
        <x:v>15334.418665467501</x:v>
      </x:c>
      <x:c r="I16" s="54" t="n">
        <x:f>(I13*((45%*'Исходные данные'!$I$6+45%*'Исходные данные'!$I$7+10%*'Исходные данные'!$I$8)*'Исходные данные'!$B$14+'Исходные данные'!$B$19+'Исходные данные'!$B$20))+I15*'Исходные данные'!$B$25</x:f>
        <x:v>26685.315163648753</x:v>
      </x:c>
      <x:c r="J16" s="54" t="n">
        <x:f>(J13*((45%*'Исходные данные'!$I$6+45%*'Исходные данные'!$I$7+10%*'Исходные данные'!$I$8)*'Исходные данные'!$B$14+'Исходные данные'!$B$19+'Исходные данные'!$B$20))+J15*'Исходные данные'!$B$25</x:f>
        <x:v>42747.9045478675</x:v>
      </x:c>
      <x:c r="K16" s="54" t="n">
        <x:f>(K13*((45%*'Исходные данные'!$I$6+45%*'Исходные данные'!$I$7+10%*'Исходные данные'!$I$8)*'Исходные данные'!$B$14+'Исходные данные'!$B$19+'Исходные данные'!$B$20))+K15*'Исходные данные'!$B$25</x:f>
        <x:v>65835.19968945126</x:v>
      </x:c>
      <x:c r="L16" s="54" t="n">
        <x:f>(L13*((45%*'Исходные данные'!$I$6+45%*'Исходные данные'!$I$7+10%*'Исходные данные'!$I$8)*'Исходные данные'!$B$14+'Исходные данные'!$B$19+'Исходные данные'!$B$20))+L15*'Исходные данные'!$B$25</x:f>
        <x:v>95433.197728105</x:v>
      </x:c>
      <x:c r="M16" s="54" t="n">
        <x:f>(M13*((45%*'Исходные данные'!$I$6+45%*'Исходные данные'!$I$7+10%*'Исходные данные'!$I$8)*'Исходные данные'!$B$14+'Исходные данные'!$B$19+'Исходные данные'!$B$20))+M15*'Исходные данные'!$B$25</x:f>
        <x:v>131798.90009397626</x:v>
      </x:c>
    </x:row>
    <x:row r="17">
      <x:c r="A17" s="45" t="str">
        <x:v>Fixed + marketing costs</x:v>
      </x:c>
      <x:c r="B17" s="54" t="n">
        <x:f>'Исходные данные'!B54*'Исходные данные'!$H$15+('Исходные данные'!B55+'Исходные данные'!B56+'Исходные данные'!B57+'Исходные данные'!$B$21+'Исходные данные'!$B$23*'Исходные данные'!B58+'Исходные данные'!$B$22*'Исходные данные'!B59)*'Исходные данные'!$H$17</x:f>
        <x:v>68950</x:v>
      </x:c>
      <x:c r="C17" s="54" t="n">
        <x:f>'Исходные данные'!C54*'Исходные данные'!$H$15+('Исходные данные'!C55+'Исходные данные'!C56+'Исходные данные'!C57+'Исходные данные'!$B$21+'Исходные данные'!$B$23*'Исходные данные'!C58+'Исходные данные'!$B$22*'Исходные данные'!C59)*'Исходные данные'!$H$17</x:f>
        <x:v>91090</x:v>
      </x:c>
      <x:c r="D17" s="54" t="n">
        <x:f>'Исходные данные'!D54*'Исходные данные'!$H$15+('Исходные данные'!D55+'Исходные данные'!D56+'Исходные данные'!D57+'Исходные данные'!$B$21+'Исходные данные'!$B$23*'Исходные данные'!D58+'Исходные данные'!$B$22*'Исходные данные'!D59)*'Исходные данные'!$H$17</x:f>
        <x:v>114300</x:v>
      </x:c>
      <x:c r="E17" s="54" t="n">
        <x:f>'Исходные данные'!E54*'Исходные данные'!$H$15+('Исходные данные'!E55+'Исходные данные'!E56+'Исходные данные'!E57+'Исходные данные'!$B$21+'Исходные данные'!$B$23*'Исходные данные'!E58+'Исходные данные'!$B$22*'Исходные данные'!E59)*'Исходные данные'!$H$17</x:f>
        <x:v>148150</x:v>
      </x:c>
      <x:c r="F17" s="54" t="n">
        <x:f>'Исходные данные'!F54*'Исходные данные'!$H$15+('Исходные данные'!F55+'Исходные данные'!F56+'Исходные данные'!F57+'Исходные данные'!$B$21+'Исходные данные'!$B$23*'Исходные данные'!F58+'Исходные данные'!$B$22*'Исходные данные'!F59)*'Исходные данные'!$H$17</x:f>
        <x:v>178500</x:v>
      </x:c>
      <x:c r="G17" s="54" t="n">
        <x:f>'Исходные данные'!G54*'Исходные данные'!$H$15+('Исходные данные'!G55+'Исходные данные'!G56+'Исходные данные'!G57+'Исходные данные'!$B$21+'Исходные данные'!$B$23*'Исходные данные'!G58+'Исходные данные'!$B$22*'Исходные данные'!G59)*'Исходные данные'!$H$17</x:f>
        <x:v>213350</x:v>
      </x:c>
      <x:c r="H17" s="54" t="n">
        <x:f>'Исходные данные'!H54*'Исходные данные'!$H$15+('Исходные данные'!H55+'Исходные данные'!H56+'Исходные данные'!H57+'Исходные данные'!$B$21+'Исходные данные'!$B$23*'Исходные данные'!H58+'Исходные данные'!$B$22*'Исходные данные'!H59)*'Исходные данные'!$H$17</x:f>
        <x:v>245550</x:v>
      </x:c>
      <x:c r="I17" s="54" t="n">
        <x:f>'Исходные данные'!I54*'Исходные данные'!$H$15+('Исходные данные'!I55+'Исходные данные'!I56+'Исходные данные'!I57+'Исходные данные'!$B$21+'Исходные данные'!$B$23*'Исходные данные'!I58+'Исходные данные'!$B$22*'Исходные данные'!I59)*'Исходные данные'!$H$17</x:f>
        <x:v>279750</x:v>
      </x:c>
      <x:c r="J17" s="54" t="n">
        <x:f>'Исходные данные'!J54*'Исходные данные'!$H$15+('Исходные данные'!J55+'Исходные данные'!J56+'Исходные данные'!J57+'Исходные данные'!$B$21+'Исходные данные'!$B$23*'Исходные данные'!J58+'Исходные данные'!$B$22*'Исходные данные'!J59)*'Исходные данные'!$H$17</x:f>
        <x:v>311950</x:v>
      </x:c>
      <x:c r="K17" s="54" t="n">
        <x:f>'Исходные данные'!K54*'Исходные данные'!$H$15+('Исходные данные'!K55+'Исходные данные'!K56+'Исходные данные'!K57+'Исходные данные'!$B$21+'Исходные данные'!$B$23*'Исходные данные'!K58+'Исходные данные'!$B$22*'Исходные данные'!K59)*'Исходные данные'!$H$17</x:f>
        <x:v>342150</x:v>
      </x:c>
      <x:c r="L17" s="54" t="n">
        <x:f>'Исходные данные'!L54*'Исходные данные'!$H$15+('Исходные данные'!L55+'Исходные данные'!L56+'Исходные данные'!L57+'Исходные данные'!$B$21+'Исходные данные'!$B$23*'Исходные данные'!L58+'Исходные данные'!$B$22*'Исходные данные'!L59)*'Исходные данные'!$H$17</x:f>
        <x:v>374350</x:v>
      </x:c>
      <x:c r="M17" s="54" t="n">
        <x:f>'Исходные данные'!M54*'Исходные данные'!$H$15+('Исходные данные'!M55+'Исходные данные'!M56+'Исходные данные'!M57+'Исходные данные'!$B$21+'Исходные данные'!$B$23*'Исходные данные'!M58+'Исходные данные'!$B$22*'Исходные данные'!M59)*'Исходные данные'!$H$17</x:f>
        <x:v>422250</x:v>
      </x:c>
    </x:row>
    <x:row r="18">
      <x:c r="A18" s="45" t="str">
        <x:v>Taxes</x:v>
      </x:c>
      <x:c r="B18" s="54" t="n">
        <x:f>B15*'Исходные данные'!$B$24</x:f>
        <x:v>20.853185535</x:v>
      </x:c>
      <x:c r="C18" s="54" t="n">
        <x:f>C15*'Исходные данные'!$B$24</x:f>
        <x:v>83.41274214</x:v>
      </x:c>
      <x:c r="D18" s="54" t="n">
        <x:f>D15*'Исходные данные'!$B$24</x:f>
        <x:v>229.385040885</x:v>
      </x:c>
      <x:c r="E18" s="54" t="n">
        <x:f>E15*'Исходные данные'!$B$24</x:f>
        <x:v>490.04986007250005</x:v>
      </x:c>
      <x:c r="F18" s="54" t="n">
        <x:f>F15*'Исходные данные'!$B$24</x:f>
        <x:v>1021.806091215</x:v>
      </x:c>
      <x:c r="G18" s="54" t="n">
        <x:f>G15*'Исходные данные'!$B$24</x:f>
        <x:v>2054.0387751975</x:v>
      </x:c>
      <x:c r="H18" s="54" t="n">
        <x:f>H15*'Исходные данные'!$B$24</x:f>
        <x:v>3732.720210765</x:v>
      </x:c>
      <x:c r="I18" s="54" t="n">
        <x:f>I15*'Исходные данные'!$B$24</x:f>
        <x:v>6495.7672941525</x:v>
      </x:c>
      <x:c r="J18" s="54" t="n">
        <x:f>J15*'Исходные данные'!$B$24</x:f>
        <x:v>10405.739581965</x:v>
      </x:c>
      <x:c r="K18" s="54" t="n">
        <x:f>K15*'Исходные данные'!$B$24</x:f>
        <x:v>16025.673083647502</x:v>
      </x:c>
      <x:c r="L18" s="54" t="n">
        <x:f>L15*'Исходные данные'!$B$24</x:f>
        <x:v>23230.448685990003</x:v>
      </x:c>
      <x:c r="M18" s="54" t="n">
        <x:f>M15*'Исходные данные'!$B$24</x:f>
        <x:v>32082.6259455975</x:v>
      </x:c>
    </x:row>
    <x:row r="19">
      <x:c r="A19" s="45" t="str">
        <x:v>Total Expenses</x:v>
      </x:c>
      <x:c r="B19" s="54" t="n">
        <x:f>B16+B17+B18</x:f>
        <x:v>69056.5203289175</x:v>
      </x:c>
      <x:c r="C19" s="54" t="n">
        <x:f>C16+C17+C18</x:f>
        <x:v>91516.08131567</x:v>
      </x:c>
      <x:c r="D19" s="54" t="n">
        <x:f>D16+D17+D18</x:f>
        <x:v>115471.7236180925</x:v>
      </x:c>
      <x:c r="E19" s="54" t="n">
        <x:f>E16+E17+E18</x:f>
        <x:v>150653.22772956124</x:v>
      </x:c>
      <x:c r="F19" s="54" t="n">
        <x:f>F16+F17+F18</x:f>
        <x:v>183719.4961169575</x:v>
      </x:c>
      <x:c r="G19" s="54" t="n">
        <x:f>G16+G17+G18</x:f>
        <x:v>223842.25239837373</x:v>
      </x:c>
      <x:c r="H19" s="54" t="n">
        <x:f>H16+H17+H18</x:f>
        <x:v>264617.1388762325</x:v>
      </x:c>
      <x:c r="I19" s="54" t="n">
        <x:f>I16+I17+I18</x:f>
        <x:v>312931.08245780127</x:v>
      </x:c>
      <x:c r="J19" s="54" t="n">
        <x:f>J16+J17+J18</x:f>
        <x:v>365103.6441298325</x:v>
      </x:c>
      <x:c r="K19" s="54" t="n">
        <x:f>K16+K17+K18</x:f>
        <x:v>424010.87277309876</x:v>
      </x:c>
      <x:c r="L19" s="54" t="n">
        <x:f>L16+L17+L18</x:f>
        <x:v>493013.646414095</x:v>
      </x:c>
      <x:c r="M19" s="54" t="n">
        <x:f>M16+M17+M18</x:f>
        <x:v>586131.5260395738</x:v>
      </x:c>
    </x:row>
    <x:row r="20">
      <x:c r="A20" s="45" t="str">
        <x:v>Net Profit</x:v>
      </x:c>
      <x:c r="B20" s="54" t="n">
        <x:f>B15-B19</x:f>
        <x:v>-68708.9672366675</x:v>
      </x:c>
      <x:c r="C20" s="54" t="n">
        <x:f>C15-C19</x:f>
        <x:v>-90125.86894667</x:v>
      </x:c>
      <x:c r="D20" s="54" t="n">
        <x:f>D15-D19</x:f>
        <x:v>-111648.6396033425</x:v>
      </x:c>
      <x:c r="E20" s="54" t="n">
        <x:f>E15-E19</x:f>
        <x:v>-142485.73006168625</x:v>
      </x:c>
      <x:c r="F20" s="54" t="n">
        <x:f>F15-F19</x:f>
        <x:v>-166689.3945967075</x:v>
      </x:c>
      <x:c r="G20" s="54" t="n">
        <x:f>G15-G19</x:f>
        <x:v>-189608.27281174873</x:v>
      </x:c>
      <x:c r="H20" s="54" t="n">
        <x:f>H15-H19</x:f>
        <x:v>-202405.1353634825</x:v>
      </x:c>
      <x:c r="I20" s="54" t="n">
        <x:f>I15-I19</x:f>
        <x:v>-204668.29422192625</x:v>
      </x:c>
      <x:c r="J20" s="54" t="n">
        <x:f>J15-J19</x:f>
        <x:v>-191674.6510970825</x:v>
      </x:c>
      <x:c r="K20" s="54" t="n">
        <x:f>K15-K19</x:f>
        <x:v>-156916.32137897372</x:v>
      </x:c>
      <x:c r="L20" s="54" t="n">
        <x:f>L15-L19</x:f>
        <x:v>-105839.50164759497</x:v>
      </x:c>
      <x:c r="M20" s="54" t="n">
        <x:f>M15-M19</x:f>
        <x:v>-51421.09361294878</x:v>
      </x:c>
    </x:row>
    <x:row r="21">
      <x:c r="A21" s="45" t="str">
        <x:v>Profitability</x:v>
      </x:c>
      <x:c r="B21" s="63" t="n">
        <x:f>IFERROR(B20/B15,0)</x:f>
        <x:v>-197.69344243740503</x:v>
      </x:c>
      <x:c r="C21" s="63" t="n">
        <x:f>IFERROR(C20/C15,0)</x:f>
        <x:v>-64.8288498623407</x:v>
      </x:c>
      <x:c r="D21" s="63" t="n">
        <x:f>IFERROR(D20/D15,0)</x:f>
        <x:v>-29.203815341903606</x:v>
      </x:c>
      <x:c r="E21" s="63" t="n">
        <x:f>IFERROR(E20/E15,0)</x:f>
        <x:v>-17.445457085604264</x:v>
      </x:c>
      <x:c r="F21" s="63" t="n">
        <x:f>IFERROR(F20/F15,0)</x:f>
        <x:v>-9.787927241567054</x:v>
      </x:c>
      <x:c r="G21" s="63" t="n">
        <x:f>IFERROR(G20/G15,0)</x:f>
        <x:v>-5.538598640919547</x:v>
      </x:c>
      <x:c r="H21" s="63" t="n">
        <x:f>IFERROR(H20/H15,0)</x:f>
        <x:v>-3.2534739911084953</x:v>
      </x:c>
      <x:c r="I21" s="63" t="n">
        <x:f>IFERROR(I20/I15,0)</x:f>
        <x:v>-1.890476843955007</x:v>
      </x:c>
      <x:c r="J21" s="63" t="n">
        <x:f>IFERROR(J20/J15,0)</x:f>
        <x:v>-1.1052053508774453</x:v>
      </x:c>
      <x:c r="K21" s="63" t="n">
        <x:f>IFERROR(K20/K15,0)</x:f>
        <x:v>-0.5874935320092989</x:v>
      </x:c>
      <x:c r="L21" s="63" t="n">
        <x:f>IFERROR(L20/L15,0)</x:f>
        <x:v>-0.27336407422408193</x:v>
      </x:c>
      <x:c r="M21" s="63" t="n">
        <x:f>IFERROR(M20/M15,0)</x:f>
        <x:v>-0.09616624343682499</x:v>
      </x:c>
    </x:row>
    <x:row r="22">
      <x:c r="A22" s="45" t="str">
        <x:v>Cumulative Profit</x:v>
      </x:c>
      <x:c r="B22" s="54" t="n">
        <x:f>B20</x:f>
        <x:v>-68708.9672366675</x:v>
      </x:c>
      <x:c r="C22" s="54" t="n">
        <x:f>B22+C20</x:f>
        <x:v>-158834.8361833375</x:v>
      </x:c>
      <x:c r="D22" s="54" t="n">
        <x:f>C22+D20</x:f>
        <x:v>-270483.47578668</x:v>
      </x:c>
      <x:c r="E22" s="54" t="n">
        <x:f>D22+E20</x:f>
        <x:v>-412969.20584836625</x:v>
      </x:c>
      <x:c r="F22" s="54" t="n">
        <x:f>E22+F20</x:f>
        <x:v>-579658.6004450738</x:v>
      </x:c>
      <x:c r="G22" s="54" t="n">
        <x:f>F22+G20</x:f>
        <x:v>-769266.8732568226</x:v>
      </x:c>
      <x:c r="H22" s="54" t="n">
        <x:f>G22+H20</x:f>
        <x:v>-971672.0086203051</x:v>
      </x:c>
      <x:c r="I22" s="54" t="n">
        <x:f>H22+I20</x:f>
        <x:v>-1176340.3028422315</x:v>
      </x:c>
      <x:c r="J22" s="54" t="n">
        <x:f>I22+J20</x:f>
        <x:v>-1368014.953939314</x:v>
      </x:c>
      <x:c r="K22" s="54" t="n">
        <x:f>J22+K20</x:f>
        <x:v>-1524931.2753182878</x:v>
      </x:c>
      <x:c r="L22" s="54" t="n">
        <x:f>K22+L20</x:f>
        <x:v>-1630770.7769658826</x:v>
      </x:c>
      <x:c r="M22" s="54" t="n">
        <x:f>L22+M20</x:f>
        <x:v>-1682191.8705788315</x:v>
      </x:c>
    </x:row>
    <x:row r="23">
      <x:c r="A23" s="45" t="str">
        <x:v>Cash need / min cumulative</x:v>
      </x:c>
      <x:c r="B23" s="54" t="n">
        <x:f>MIN(0,MIN($B$22:B22))</x:f>
        <x:v>-68708.9672366675</x:v>
      </x:c>
      <x:c r="C23" s="54" t="n">
        <x:f>MIN(0,MIN($B$22:C22))</x:f>
        <x:v>-158834.8361833375</x:v>
      </x:c>
      <x:c r="D23" s="54" t="n">
        <x:f>MIN(0,MIN($B$22:D22))</x:f>
        <x:v>-270483.47578668</x:v>
      </x:c>
      <x:c r="E23" s="54" t="n">
        <x:f>MIN(0,MIN($B$22:E22))</x:f>
        <x:v>-412969.20584836625</x:v>
      </x:c>
      <x:c r="F23" s="54" t="n">
        <x:f>MIN(0,MIN($B$22:F22))</x:f>
        <x:v>-579658.6004450738</x:v>
      </x:c>
      <x:c r="G23" s="54" t="n">
        <x:f>MIN(0,MIN($B$22:G22))</x:f>
        <x:v>-769266.8732568226</x:v>
      </x:c>
      <x:c r="H23" s="54" t="n">
        <x:f>MIN(0,MIN($B$22:H22))</x:f>
        <x:v>-971672.0086203051</x:v>
      </x:c>
      <x:c r="I23" s="54" t="n">
        <x:f>MIN(0,MIN($B$22:I22))</x:f>
        <x:v>-1176340.3028422315</x:v>
      </x:c>
      <x:c r="J23" s="54" t="n">
        <x:f>MIN(0,MIN($B$22:J22))</x:f>
        <x:v>-1368014.953939314</x:v>
      </x:c>
      <x:c r="K23" s="54" t="n">
        <x:f>MIN(0,MIN($B$22:K22))</x:f>
        <x:v>-1524931.2753182878</x:v>
      </x:c>
      <x:c r="L23" s="54" t="n">
        <x:f>MIN(0,MIN($B$22:L22))</x:f>
        <x:v>-1630770.7769658826</x:v>
      </x:c>
      <x:c r="M23" s="54" t="n">
        <x:f>MIN(0,MIN($B$22:M22))</x:f>
        <x:v>-1682191.8705788315</x:v>
      </x:c>
    </x:row>
    <x:row r="24">
      <x:c r="A24" s="42"/>
      <x:c r="B24" s="42"/>
      <x:c r="C24" s="42"/>
      <x:c r="D24" s="42"/>
      <x:c r="E24" s="42"/>
      <x:c r="F24" s="42"/>
      <x:c r="G24" s="42"/>
      <x:c r="H24" s="42"/>
      <x:c r="I24" s="42"/>
      <x:c r="J24" s="42"/>
      <x:c r="K24" s="42"/>
      <x:c r="L24" s="42"/>
      <x:c r="M24" s="42"/>
    </x:row>
    <x:row r="25">
      <x:c r="A25" s="42"/>
      <x:c r="B25" s="42"/>
      <x:c r="C25" s="42"/>
      <x:c r="D25" s="42"/>
      <x:c r="E25" s="42"/>
      <x:c r="F25" s="42"/>
      <x:c r="G25" s="42"/>
      <x:c r="H25" s="42"/>
      <x:c r="I25" s="42"/>
      <x:c r="J25" s="42"/>
      <x:c r="K25" s="42"/>
      <x:c r="L25" s="42"/>
      <x:c r="M25" s="42"/>
    </x:row>
    <x:row r="26">
      <x:c r="A26" s="42"/>
      <x:c r="B26" s="42"/>
      <x:c r="C26" s="42"/>
      <x:c r="D26" s="42"/>
      <x:c r="E26" s="42"/>
      <x:c r="F26" s="42"/>
      <x:c r="G26" s="42"/>
      <x:c r="H26" s="42"/>
      <x:c r="I26" s="42"/>
      <x:c r="J26" s="42"/>
      <x:c r="K26" s="42"/>
      <x:c r="L26" s="42"/>
      <x:c r="M26" s="42"/>
    </x:row>
    <x:row r="27">
      <x:c r="A27" s="42"/>
      <x:c r="B27" s="42"/>
      <x:c r="C27" s="42"/>
      <x:c r="D27" s="42"/>
      <x:c r="E27" s="42"/>
      <x:c r="F27" s="42"/>
      <x:c r="G27" s="42"/>
      <x:c r="H27" s="42"/>
      <x:c r="I27" s="42"/>
      <x:c r="J27" s="42"/>
      <x:c r="K27" s="42"/>
      <x:c r="L27" s="42"/>
      <x:c r="M27" s="42"/>
    </x:row>
    <x:row r="28">
      <x:c r="A28" s="42"/>
      <x:c r="B28" s="42"/>
      <x:c r="C28" s="42"/>
      <x:c r="D28" s="42"/>
      <x:c r="E28" s="42"/>
      <x:c r="F28" s="42"/>
      <x:c r="G28" s="42"/>
      <x:c r="H28" s="42"/>
      <x:c r="I28" s="42"/>
      <x:c r="J28" s="42"/>
      <x:c r="K28" s="42"/>
      <x:c r="L28" s="42"/>
      <x:c r="M28" s="42"/>
    </x:row>
    <x:row r="29">
      <x:c r="A29" s="42"/>
      <x:c r="B29" s="42"/>
      <x:c r="C29" s="42"/>
      <x:c r="D29" s="42"/>
      <x:c r="E29" s="42"/>
      <x:c r="F29" s="42"/>
      <x:c r="G29" s="42"/>
      <x:c r="H29" s="42"/>
      <x:c r="I29" s="42"/>
      <x:c r="J29" s="42"/>
      <x:c r="K29" s="42"/>
      <x:c r="L29" s="42"/>
      <x:c r="M29" s="42"/>
    </x:row>
    <x:row r="30">
      <x:c r="A30" s="42"/>
      <x:c r="B30" s="42"/>
      <x:c r="C30" s="42"/>
      <x:c r="D30" s="42"/>
      <x:c r="E30" s="42"/>
      <x:c r="F30" s="42"/>
      <x:c r="G30" s="42"/>
      <x:c r="H30" s="42"/>
      <x:c r="I30" s="42"/>
      <x:c r="J30" s="42"/>
      <x:c r="K30" s="42"/>
      <x:c r="L30" s="42"/>
      <x:c r="M30" s="42"/>
    </x:row>
    <x:row r="31">
      <x:c r="A31" s="42"/>
      <x:c r="B31" s="42"/>
      <x:c r="C31" s="42"/>
      <x:c r="D31" s="42"/>
      <x:c r="E31" s="42"/>
      <x:c r="F31" s="42"/>
      <x:c r="G31" s="42"/>
      <x:c r="H31" s="42"/>
      <x:c r="I31" s="42"/>
      <x:c r="J31" s="42"/>
      <x:c r="K31" s="42"/>
      <x:c r="L31" s="42"/>
      <x:c r="M31" s="42"/>
    </x:row>
    <x:row r="32">
      <x:c r="A32" s="42"/>
      <x:c r="B32" s="42"/>
      <x:c r="C32" s="42"/>
      <x:c r="D32" s="42"/>
      <x:c r="E32" s="42"/>
      <x:c r="F32" s="42"/>
      <x:c r="G32" s="42"/>
      <x:c r="H32" s="42"/>
      <x:c r="I32" s="42"/>
      <x:c r="J32" s="42"/>
      <x:c r="K32" s="42"/>
      <x:c r="L32" s="42"/>
      <x:c r="M32" s="42"/>
    </x:row>
    <x:row r="33">
      <x:c r="A33" s="42"/>
      <x:c r="B33" s="42"/>
      <x:c r="C33" s="42"/>
      <x:c r="D33" s="42"/>
      <x:c r="E33" s="42"/>
      <x:c r="F33" s="42"/>
      <x:c r="G33" s="42"/>
      <x:c r="H33" s="42"/>
      <x:c r="I33" s="42"/>
      <x:c r="J33" s="42"/>
      <x:c r="K33" s="42"/>
      <x:c r="L33" s="42"/>
      <x:c r="M33" s="42"/>
    </x:row>
    <x:row r="34">
      <x:c r="A34" s="42"/>
      <x:c r="B34" s="42"/>
      <x:c r="C34" s="42"/>
      <x:c r="D34" s="42"/>
      <x:c r="E34" s="42"/>
      <x:c r="F34" s="42"/>
      <x:c r="G34" s="42"/>
      <x:c r="H34" s="42"/>
      <x:c r="I34" s="42"/>
      <x:c r="J34" s="42"/>
      <x:c r="K34" s="42"/>
      <x:c r="L34" s="42"/>
      <x:c r="M34" s="42"/>
    </x:row>
    <x:row r="35">
      <x:c r="A35" s="42"/>
      <x:c r="B35" s="42"/>
      <x:c r="C35" s="42"/>
      <x:c r="D35" s="42"/>
      <x:c r="E35" s="42"/>
      <x:c r="F35" s="42"/>
      <x:c r="G35" s="42"/>
      <x:c r="H35" s="42"/>
      <x:c r="I35" s="42"/>
      <x:c r="J35" s="42"/>
      <x:c r="K35" s="42"/>
      <x:c r="L35" s="42"/>
      <x:c r="M35" s="42"/>
    </x:row>
    <x:row r="36">
      <x:c r="A36" s="42"/>
      <x:c r="B36" s="42"/>
      <x:c r="C36" s="42"/>
      <x:c r="D36" s="42"/>
      <x:c r="E36" s="42"/>
      <x:c r="F36" s="42"/>
      <x:c r="G36" s="42"/>
      <x:c r="H36" s="42"/>
      <x:c r="I36" s="42"/>
      <x:c r="J36" s="42"/>
      <x:c r="K36" s="42"/>
      <x:c r="L36" s="42"/>
      <x:c r="M36" s="42"/>
    </x:row>
    <x:row r="37">
      <x:c r="A37" s="42"/>
      <x:c r="B37" s="42"/>
      <x:c r="C37" s="42"/>
      <x:c r="D37" s="42"/>
      <x:c r="E37" s="42"/>
      <x:c r="F37" s="42"/>
      <x:c r="G37" s="42"/>
      <x:c r="H37" s="42"/>
      <x:c r="I37" s="42"/>
      <x:c r="J37" s="42"/>
      <x:c r="K37" s="42"/>
      <x:c r="L37" s="42"/>
      <x:c r="M37" s="42"/>
    </x:row>
    <x:row r="38">
      <x:c r="A38" s="42"/>
      <x:c r="B38" s="42"/>
      <x:c r="C38" s="42"/>
      <x:c r="D38" s="42"/>
      <x:c r="E38" s="42"/>
      <x:c r="F38" s="42"/>
      <x:c r="G38" s="42"/>
      <x:c r="H38" s="42"/>
      <x:c r="I38" s="42"/>
      <x:c r="J38" s="42"/>
      <x:c r="K38" s="42"/>
      <x:c r="L38" s="42"/>
      <x:c r="M38" s="42"/>
    </x:row>
    <x:row r="39">
      <x:c r="A39" s="42"/>
      <x:c r="B39" s="42"/>
      <x:c r="C39" s="42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</x:row>
    <x:row r="40">
      <x:c r="A40" s="42"/>
      <x:c r="B40" s="42"/>
      <x:c r="C40" s="42"/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</x:row>
    <x:row r="41">
      <x:c r="A41" s="42"/>
      <x:c r="B41" s="42"/>
      <x:c r="C41" s="42"/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</x:row>
    <x:row r="42">
      <x:c r="A42" s="42"/>
      <x:c r="B42" s="42"/>
      <x:c r="C42" s="42"/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</x:row>
    <x:row r="43">
      <x:c r="A43" s="42"/>
      <x:c r="B43" s="42"/>
      <x:c r="C43" s="42"/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</x:row>
    <x:row r="44">
      <x:c r="A44" s="42"/>
      <x:c r="B44" s="42"/>
      <x:c r="C44" s="42"/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</x:row>
    <x:row r="45">
      <x:c r="A45" s="42"/>
      <x:c r="B45" s="42"/>
      <x:c r="C45" s="42"/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</x:row>
    <x:row r="46">
      <x:c r="A46" s="42"/>
      <x:c r="B46" s="42"/>
      <x:c r="C46" s="42"/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</x:row>
    <x:row r="47">
      <x:c r="A47" s="42"/>
      <x:c r="B47" s="42"/>
      <x:c r="C47" s="42"/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</x:row>
    <x:row r="48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</x:row>
    <x:row r="49">
      <x:c r="A49" s="42"/>
      <x:c r="B49" s="42"/>
      <x:c r="C49" s="42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</x:row>
    <x:row r="50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</x:row>
    <x:row r="51">
      <x:c r="A51" s="42"/>
      <x:c r="B51" s="42"/>
      <x:c r="C51" s="42"/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</x:row>
    <x:row r="52">
      <x:c r="A52" s="42"/>
      <x:c r="B52" s="42"/>
      <x:c r="C52" s="42"/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</x:row>
    <x:row r="53">
      <x:c r="A53" s="42"/>
      <x:c r="B53" s="42"/>
      <x:c r="C53" s="42"/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</x:row>
    <x:row r="54">
      <x:c r="A54" s="42"/>
      <x:c r="B54" s="42"/>
      <x:c r="C54" s="42"/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</x:row>
    <x:row r="55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</x:row>
    <x:row r="56">
      <x:c r="A56" s="42"/>
      <x:c r="B56" s="42"/>
      <x:c r="C56" s="42"/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</x:row>
    <x:row r="57">
      <x:c r="A57" s="42"/>
      <x:c r="B57" s="42"/>
      <x:c r="C57" s="42"/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</x:row>
    <x:row r="58">
      <x:c r="A58" s="42"/>
      <x:c r="B58" s="42"/>
      <x:c r="C58" s="42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</x:row>
    <x:row r="59">
      <x:c r="A59" s="42"/>
      <x:c r="B59" s="42"/>
      <x:c r="C59" s="42"/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</x:row>
    <x:row r="60">
      <x:c r="A60" s="42"/>
      <x:c r="B60" s="42"/>
      <x:c r="C60" s="42"/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</x:row>
    <x:row r="61">
      <x:c r="A61" s="42"/>
      <x:c r="B61" s="42"/>
      <x:c r="C61" s="42"/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</x:row>
    <x:row r="62">
      <x:c r="A62" s="42"/>
      <x:c r="B62" s="42"/>
      <x:c r="C62" s="42"/>
      <x:c r="D62" s="42"/>
      <x:c r="E62" s="42"/>
      <x:c r="F62" s="42"/>
      <x:c r="G62" s="42"/>
      <x:c r="H62" s="42"/>
      <x:c r="I62" s="42"/>
      <x:c r="J62" s="42"/>
      <x:c r="K62" s="42"/>
      <x:c r="L62" s="42"/>
      <x:c r="M62" s="42"/>
    </x:row>
    <x:row r="63">
      <x:c r="A63" s="42"/>
      <x:c r="B63" s="42"/>
      <x:c r="C63" s="42"/>
      <x:c r="D63" s="42"/>
      <x:c r="E63" s="42"/>
      <x:c r="F63" s="42"/>
      <x:c r="G63" s="42"/>
      <x:c r="H63" s="42"/>
      <x:c r="I63" s="42"/>
      <x:c r="J63" s="42"/>
      <x:c r="K63" s="42"/>
      <x:c r="L63" s="42"/>
      <x:c r="M63" s="42"/>
    </x:row>
    <x:row r="64">
      <x:c r="A64" s="42"/>
      <x:c r="B64" s="42"/>
      <x:c r="C64" s="42"/>
      <x:c r="D64" s="42"/>
      <x:c r="E64" s="42"/>
      <x:c r="F64" s="42"/>
      <x:c r="G64" s="42"/>
      <x:c r="H64" s="42"/>
      <x:c r="I64" s="42"/>
      <x:c r="J64" s="42"/>
      <x:c r="K64" s="42"/>
      <x:c r="L64" s="42"/>
      <x:c r="M64" s="42"/>
    </x:row>
    <x:row r="65">
      <x:c r="A65" s="42"/>
      <x:c r="B65" s="42"/>
      <x:c r="C65" s="42"/>
      <x:c r="D65" s="42"/>
      <x:c r="E65" s="42"/>
      <x:c r="F65" s="42"/>
      <x:c r="G65" s="42"/>
      <x:c r="H65" s="42"/>
      <x:c r="I65" s="42"/>
      <x:c r="J65" s="42"/>
      <x:c r="K65" s="42"/>
      <x:c r="L65" s="42"/>
      <x:c r="M65" s="42"/>
    </x:row>
    <x:row r="66">
      <x:c r="A66" s="42"/>
      <x:c r="B66" s="42"/>
      <x:c r="C66" s="42"/>
      <x:c r="D66" s="42"/>
      <x:c r="E66" s="42"/>
      <x:c r="F66" s="42"/>
      <x:c r="G66" s="42"/>
      <x:c r="H66" s="42"/>
      <x:c r="I66" s="42"/>
      <x:c r="J66" s="42"/>
      <x:c r="K66" s="42"/>
      <x:c r="L66" s="42"/>
      <x:c r="M66" s="42"/>
    </x:row>
    <x:row r="67">
      <x:c r="A67" s="42"/>
      <x:c r="B67" s="42"/>
      <x:c r="C67" s="42"/>
      <x:c r="D67" s="42"/>
      <x:c r="E67" s="42"/>
      <x:c r="F67" s="42"/>
      <x:c r="G67" s="42"/>
      <x:c r="H67" s="42"/>
      <x:c r="I67" s="42"/>
      <x:c r="J67" s="42"/>
      <x:c r="K67" s="42"/>
      <x:c r="L67" s="42"/>
      <x:c r="M67" s="42"/>
    </x:row>
    <x:row r="68">
      <x:c r="A68" s="42"/>
      <x:c r="B68" s="42"/>
      <x:c r="C68" s="42"/>
      <x:c r="D68" s="42"/>
      <x:c r="E68" s="42"/>
      <x:c r="F68" s="42"/>
      <x:c r="G68" s="42"/>
      <x:c r="H68" s="42"/>
      <x:c r="I68" s="42"/>
      <x:c r="J68" s="42"/>
      <x:c r="K68" s="42"/>
      <x:c r="L68" s="42"/>
      <x:c r="M68" s="42"/>
    </x:row>
    <x:row r="69">
      <x:c r="A69" s="42"/>
      <x:c r="B69" s="42"/>
      <x:c r="C69" s="42"/>
      <x:c r="D69" s="42"/>
      <x:c r="E69" s="42"/>
      <x:c r="F69" s="42"/>
      <x:c r="G69" s="42"/>
      <x:c r="H69" s="42"/>
      <x:c r="I69" s="42"/>
      <x:c r="J69" s="42"/>
      <x:c r="K69" s="42"/>
      <x:c r="L69" s="42"/>
      <x:c r="M69" s="42"/>
    </x:row>
    <x:row r="70">
      <x:c r="A70" s="42"/>
      <x:c r="B70" s="42"/>
      <x:c r="C70" s="42"/>
      <x:c r="D70" s="42"/>
      <x:c r="E70" s="42"/>
      <x:c r="F70" s="42"/>
      <x:c r="G70" s="42"/>
      <x:c r="H70" s="42"/>
      <x:c r="I70" s="42"/>
      <x:c r="J70" s="42"/>
      <x:c r="K70" s="42"/>
      <x:c r="L70" s="42"/>
      <x:c r="M70" s="42"/>
    </x:row>
    <x:row r="71">
      <x:c r="A71" s="42"/>
      <x:c r="B71" s="42"/>
      <x:c r="C71" s="42"/>
      <x:c r="D71" s="42"/>
      <x:c r="E71" s="42"/>
      <x:c r="F71" s="42"/>
      <x:c r="G71" s="42"/>
      <x:c r="H71" s="42"/>
      <x:c r="I71" s="42"/>
      <x:c r="J71" s="42"/>
      <x:c r="K71" s="42"/>
      <x:c r="L71" s="42"/>
      <x:c r="M71" s="42"/>
    </x:row>
    <x:row r="72">
      <x:c r="A72" s="42"/>
      <x:c r="B72" s="42"/>
      <x:c r="C72" s="42"/>
      <x:c r="D72" s="42"/>
      <x:c r="E72" s="42"/>
      <x:c r="F72" s="42"/>
      <x:c r="G72" s="42"/>
      <x:c r="H72" s="42"/>
      <x:c r="I72" s="42"/>
      <x:c r="J72" s="42"/>
      <x:c r="K72" s="42"/>
      <x:c r="L72" s="42"/>
      <x:c r="M72" s="42"/>
    </x:row>
    <x:row r="73">
      <x:c r="A73" s="42"/>
      <x:c r="B73" s="42"/>
      <x:c r="C73" s="42"/>
      <x:c r="D73" s="42"/>
      <x:c r="E73" s="42"/>
      <x:c r="F73" s="42"/>
      <x:c r="G73" s="42"/>
      <x:c r="H73" s="42"/>
      <x:c r="I73" s="42"/>
      <x:c r="J73" s="42"/>
      <x:c r="K73" s="42"/>
      <x:c r="L73" s="42"/>
      <x:c r="M73" s="42"/>
    </x:row>
    <x:row r="74">
      <x:c r="A74" s="42"/>
      <x:c r="B74" s="42"/>
      <x:c r="C74" s="42"/>
      <x:c r="D74" s="42"/>
      <x:c r="E74" s="42"/>
      <x:c r="F74" s="42"/>
      <x:c r="G74" s="42"/>
      <x:c r="H74" s="42"/>
      <x:c r="I74" s="42"/>
      <x:c r="J74" s="42"/>
      <x:c r="K74" s="42"/>
      <x:c r="L74" s="42"/>
      <x:c r="M74" s="42"/>
    </x:row>
    <x:row r="75">
      <x:c r="A75" s="42"/>
      <x:c r="B75" s="42"/>
      <x:c r="C75" s="42"/>
      <x:c r="D75" s="42"/>
      <x:c r="E75" s="42"/>
      <x:c r="F75" s="42"/>
      <x:c r="G75" s="42"/>
      <x:c r="H75" s="42"/>
      <x:c r="I75" s="42"/>
      <x:c r="J75" s="42"/>
      <x:c r="K75" s="42"/>
      <x:c r="L75" s="42"/>
      <x:c r="M75" s="42"/>
    </x:row>
    <x:row r="76">
      <x:c r="A76" s="42"/>
      <x:c r="B76" s="42"/>
      <x:c r="C76" s="42"/>
      <x:c r="D76" s="42"/>
      <x:c r="E76" s="42"/>
      <x:c r="F76" s="42"/>
      <x:c r="G76" s="42"/>
      <x:c r="H76" s="42"/>
      <x:c r="I76" s="42"/>
      <x:c r="J76" s="42"/>
      <x:c r="K76" s="42"/>
      <x:c r="L76" s="42"/>
      <x:c r="M76" s="42"/>
    </x:row>
    <x:row r="77">
      <x:c r="A77" s="42"/>
      <x:c r="B77" s="42"/>
      <x:c r="C77" s="42"/>
      <x:c r="D77" s="42"/>
      <x:c r="E77" s="42"/>
      <x:c r="F77" s="42"/>
      <x:c r="G77" s="42"/>
      <x:c r="H77" s="42"/>
      <x:c r="I77" s="42"/>
      <x:c r="J77" s="42"/>
      <x:c r="K77" s="42"/>
      <x:c r="L77" s="42"/>
      <x:c r="M77" s="42"/>
    </x:row>
    <x:row r="78">
      <x:c r="A78" s="42"/>
      <x:c r="B78" s="42"/>
      <x:c r="C78" s="42"/>
      <x:c r="D78" s="42"/>
      <x:c r="E78" s="42"/>
      <x:c r="F78" s="42"/>
      <x:c r="G78" s="42"/>
      <x:c r="H78" s="42"/>
      <x:c r="I78" s="42"/>
      <x:c r="J78" s="42"/>
      <x:c r="K78" s="42"/>
      <x:c r="L78" s="42"/>
      <x:c r="M78" s="42"/>
    </x:row>
    <x:row r="79">
      <x:c r="A79" s="42"/>
      <x:c r="B79" s="42"/>
      <x:c r="C79" s="42"/>
      <x:c r="D79" s="42"/>
      <x:c r="E79" s="42"/>
      <x:c r="F79" s="42"/>
      <x:c r="G79" s="42"/>
      <x:c r="H79" s="42"/>
      <x:c r="I79" s="42"/>
      <x:c r="J79" s="42"/>
      <x:c r="K79" s="42"/>
      <x:c r="L79" s="42"/>
      <x:c r="M79" s="42"/>
    </x:row>
    <x:row r="80">
      <x:c r="A80" s="42"/>
      <x:c r="B80" s="42"/>
      <x:c r="C80" s="42"/>
      <x:c r="D80" s="42"/>
      <x:c r="E80" s="42"/>
      <x:c r="F80" s="42"/>
      <x:c r="G80" s="42"/>
      <x:c r="H80" s="42"/>
      <x:c r="I80" s="42"/>
      <x:c r="J80" s="42"/>
      <x:c r="K80" s="42"/>
      <x:c r="L80" s="42"/>
      <x:c r="M80" s="42"/>
    </x:row>
    <x:row r="81">
      <x:c r="A81" s="42"/>
      <x:c r="B81" s="42"/>
      <x:c r="C81" s="42"/>
      <x:c r="D81" s="42"/>
      <x:c r="E81" s="42"/>
      <x:c r="F81" s="42"/>
      <x:c r="G81" s="42"/>
      <x:c r="H81" s="42"/>
      <x:c r="I81" s="42"/>
      <x:c r="J81" s="42"/>
      <x:c r="K81" s="42"/>
      <x:c r="L81" s="42"/>
      <x:c r="M81" s="42"/>
    </x:row>
    <x:row r="82">
      <x:c r="A82" s="42"/>
      <x:c r="B82" s="42"/>
      <x:c r="C82" s="42"/>
      <x:c r="D82" s="42"/>
      <x:c r="E82" s="42"/>
      <x:c r="F82" s="42"/>
      <x:c r="G82" s="42"/>
      <x:c r="H82" s="42"/>
      <x:c r="I82" s="42"/>
      <x:c r="J82" s="42"/>
      <x:c r="K82" s="42"/>
      <x:c r="L82" s="42"/>
      <x:c r="M82" s="42"/>
    </x:row>
    <x:row r="83">
      <x:c r="A83" s="42"/>
      <x:c r="B83" s="42"/>
      <x:c r="C83" s="42"/>
      <x:c r="D83" s="42"/>
      <x:c r="E83" s="42"/>
      <x:c r="F83" s="42"/>
      <x:c r="G83" s="42"/>
      <x:c r="H83" s="42"/>
      <x:c r="I83" s="42"/>
      <x:c r="J83" s="42"/>
      <x:c r="K83" s="42"/>
      <x:c r="L83" s="42"/>
      <x:c r="M83" s="42"/>
    </x:row>
    <x:row r="84">
      <x:c r="A84" s="42"/>
      <x:c r="B84" s="42"/>
      <x:c r="C84" s="42"/>
      <x:c r="D84" s="42"/>
      <x:c r="E84" s="42"/>
      <x:c r="F84" s="42"/>
      <x:c r="G84" s="42"/>
      <x:c r="H84" s="42"/>
      <x:c r="I84" s="42"/>
      <x:c r="J84" s="42"/>
      <x:c r="K84" s="42"/>
      <x:c r="L84" s="42"/>
      <x:c r="M84" s="42"/>
    </x:row>
    <x:row r="85">
      <x:c r="A85" s="42"/>
      <x:c r="B85" s="42"/>
      <x:c r="C85" s="42"/>
      <x:c r="D85" s="42"/>
      <x:c r="E85" s="42"/>
      <x:c r="F85" s="42"/>
      <x:c r="G85" s="42"/>
      <x:c r="H85" s="42"/>
      <x:c r="I85" s="42"/>
      <x:c r="J85" s="42"/>
      <x:c r="K85" s="42"/>
      <x:c r="L85" s="42"/>
      <x:c r="M85" s="42"/>
    </x:row>
    <x:row r="86">
      <x:c r="A86" s="42"/>
      <x:c r="B86" s="42"/>
      <x:c r="C86" s="42"/>
      <x:c r="D86" s="42"/>
      <x:c r="E86" s="42"/>
      <x:c r="F86" s="42"/>
      <x:c r="G86" s="42"/>
      <x:c r="H86" s="42"/>
      <x:c r="I86" s="42"/>
      <x:c r="J86" s="42"/>
      <x:c r="K86" s="42"/>
      <x:c r="L86" s="42"/>
      <x:c r="M86" s="42"/>
    </x:row>
    <x:row r="87">
      <x:c r="A87" s="42"/>
      <x:c r="B87" s="42"/>
      <x:c r="C87" s="42"/>
      <x:c r="D87" s="42"/>
      <x:c r="E87" s="42"/>
      <x:c r="F87" s="42"/>
      <x:c r="G87" s="42"/>
      <x:c r="H87" s="42"/>
      <x:c r="I87" s="42"/>
      <x:c r="J87" s="42"/>
      <x:c r="K87" s="42"/>
      <x:c r="L87" s="42"/>
      <x:c r="M87" s="42"/>
    </x:row>
    <x:row r="88">
      <x:c r="A88" s="42"/>
      <x:c r="B88" s="42"/>
      <x:c r="C88" s="42"/>
      <x:c r="D88" s="42"/>
      <x:c r="E88" s="42"/>
      <x:c r="F88" s="42"/>
      <x:c r="G88" s="42"/>
      <x:c r="H88" s="42"/>
      <x:c r="I88" s="42"/>
      <x:c r="J88" s="42"/>
      <x:c r="K88" s="42"/>
      <x:c r="L88" s="42"/>
      <x:c r="M88" s="42"/>
    </x:row>
    <x:row r="89">
      <x:c r="A89" s="42"/>
      <x:c r="B89" s="42"/>
      <x:c r="C89" s="42"/>
      <x:c r="D89" s="42"/>
      <x:c r="E89" s="42"/>
      <x:c r="F89" s="42"/>
      <x:c r="G89" s="42"/>
      <x:c r="H89" s="42"/>
      <x:c r="I89" s="42"/>
      <x:c r="J89" s="42"/>
      <x:c r="K89" s="42"/>
      <x:c r="L89" s="42"/>
      <x:c r="M89" s="42"/>
    </x:row>
    <x:row r="90">
      <x:c r="A90" s="42"/>
      <x:c r="B90" s="42"/>
      <x:c r="C90" s="42"/>
      <x:c r="D90" s="42"/>
      <x:c r="E90" s="42"/>
      <x:c r="F90" s="42"/>
      <x:c r="G90" s="42"/>
      <x:c r="H90" s="42"/>
      <x:c r="I90" s="42"/>
      <x:c r="J90" s="42"/>
      <x:c r="K90" s="42"/>
      <x:c r="L90" s="42"/>
      <x:c r="M90" s="42"/>
    </x:row>
    <x:row r="91">
      <x:c r="A91" s="42"/>
      <x:c r="B91" s="42"/>
      <x:c r="C91" s="42"/>
      <x:c r="D91" s="42"/>
      <x:c r="E91" s="42"/>
      <x:c r="F91" s="42"/>
      <x:c r="G91" s="42"/>
      <x:c r="H91" s="42"/>
      <x:c r="I91" s="42"/>
      <x:c r="J91" s="42"/>
      <x:c r="K91" s="42"/>
      <x:c r="L91" s="42"/>
      <x:c r="M91" s="42"/>
    </x:row>
    <x:row r="92">
      <x:c r="A92" s="42"/>
      <x:c r="B92" s="42"/>
      <x:c r="C92" s="42"/>
      <x:c r="D92" s="42"/>
      <x:c r="E92" s="42"/>
      <x:c r="F92" s="42"/>
      <x:c r="G92" s="42"/>
      <x:c r="H92" s="42"/>
      <x:c r="I92" s="42"/>
      <x:c r="J92" s="42"/>
      <x:c r="K92" s="42"/>
      <x:c r="L92" s="42"/>
      <x:c r="M92" s="42"/>
    </x:row>
    <x:row r="93">
      <x:c r="A93" s="42"/>
      <x:c r="B93" s="42"/>
      <x:c r="C93" s="42"/>
      <x:c r="D93" s="42"/>
      <x:c r="E93" s="42"/>
      <x:c r="F93" s="42"/>
      <x:c r="G93" s="42"/>
      <x:c r="H93" s="42"/>
      <x:c r="I93" s="42"/>
      <x:c r="J93" s="42"/>
      <x:c r="K93" s="42"/>
      <x:c r="L93" s="42"/>
      <x:c r="M93" s="42"/>
    </x:row>
    <x:row r="94">
      <x:c r="A94" s="42"/>
      <x:c r="B94" s="42"/>
      <x:c r="C94" s="42"/>
      <x:c r="D94" s="42"/>
      <x:c r="E94" s="42"/>
      <x:c r="F94" s="42"/>
      <x:c r="G94" s="42"/>
      <x:c r="H94" s="42"/>
      <x:c r="I94" s="42"/>
      <x:c r="J94" s="42"/>
      <x:c r="K94" s="42"/>
      <x:c r="L94" s="42"/>
      <x:c r="M94" s="42"/>
    </x:row>
    <x:row r="95">
      <x:c r="A95" s="42"/>
      <x:c r="B95" s="42"/>
      <x:c r="C95" s="42"/>
      <x:c r="D95" s="42"/>
      <x:c r="E95" s="42"/>
      <x:c r="F95" s="42"/>
      <x:c r="G95" s="42"/>
      <x:c r="H95" s="42"/>
      <x:c r="I95" s="42"/>
      <x:c r="J95" s="42"/>
      <x:c r="K95" s="42"/>
      <x:c r="L95" s="42"/>
      <x:c r="M95" s="42"/>
    </x:row>
    <x:row r="96">
      <x:c r="A96" s="42"/>
      <x:c r="B96" s="42"/>
      <x:c r="C96" s="42"/>
      <x:c r="D96" s="42"/>
      <x:c r="E96" s="42"/>
      <x:c r="F96" s="42"/>
      <x:c r="G96" s="42"/>
      <x:c r="H96" s="42"/>
      <x:c r="I96" s="42"/>
      <x:c r="J96" s="42"/>
      <x:c r="K96" s="42"/>
      <x:c r="L96" s="42"/>
      <x:c r="M96" s="42"/>
    </x:row>
    <x:row r="97">
      <x:c r="A97" s="42"/>
      <x:c r="B97" s="42"/>
      <x:c r="C97" s="42"/>
      <x:c r="D97" s="42"/>
      <x:c r="E97" s="42"/>
      <x:c r="F97" s="42"/>
      <x:c r="G97" s="42"/>
      <x:c r="H97" s="42"/>
      <x:c r="I97" s="42"/>
      <x:c r="J97" s="42"/>
      <x:c r="K97" s="42"/>
      <x:c r="L97" s="42"/>
      <x:c r="M97" s="42"/>
    </x:row>
    <x:row r="98">
      <x:c r="A98" s="42"/>
      <x:c r="B98" s="42"/>
      <x:c r="C98" s="42"/>
      <x:c r="D98" s="42"/>
      <x:c r="E98" s="42"/>
      <x:c r="F98" s="42"/>
      <x:c r="G98" s="42"/>
      <x:c r="H98" s="42"/>
      <x:c r="I98" s="42"/>
      <x:c r="J98" s="42"/>
      <x:c r="K98" s="42"/>
      <x:c r="L98" s="42"/>
      <x:c r="M98" s="42"/>
    </x:row>
    <x:row r="99">
      <x:c r="A99" s="42"/>
      <x:c r="B99" s="42"/>
      <x:c r="C99" s="42"/>
      <x:c r="D99" s="42"/>
      <x:c r="E99" s="42"/>
      <x:c r="F99" s="42"/>
      <x:c r="G99" s="42"/>
      <x:c r="H99" s="42"/>
      <x:c r="I99" s="42"/>
      <x:c r="J99" s="42"/>
      <x:c r="K99" s="42"/>
      <x:c r="L99" s="42"/>
      <x:c r="M99" s="42"/>
    </x:row>
    <x:row r="100">
      <x:c r="A100" s="42"/>
      <x:c r="B100" s="42"/>
      <x:c r="C100" s="42"/>
      <x:c r="D100" s="42"/>
      <x:c r="E100" s="42"/>
      <x:c r="F100" s="42"/>
      <x:c r="G100" s="42"/>
      <x:c r="H100" s="42"/>
      <x:c r="I100" s="42"/>
      <x:c r="J100" s="42"/>
      <x:c r="K100" s="42"/>
      <x:c r="L100" s="42"/>
      <x:c r="M100" s="42"/>
    </x:row>
    <x:row r="101">
      <x:c r="A101" s="42"/>
      <x:c r="B101" s="42"/>
      <x:c r="C101" s="42"/>
      <x:c r="D101" s="42"/>
      <x:c r="E101" s="42"/>
      <x:c r="F101" s="42"/>
      <x:c r="G101" s="42"/>
      <x:c r="H101" s="42"/>
      <x:c r="I101" s="42"/>
      <x:c r="J101" s="42"/>
      <x:c r="K101" s="42"/>
      <x:c r="L101" s="42"/>
      <x:c r="M101" s="42"/>
    </x:row>
    <x:row r="102">
      <x:c r="A102" s="42"/>
      <x:c r="B102" s="42"/>
      <x:c r="C102" s="42"/>
      <x:c r="D102" s="42"/>
      <x:c r="E102" s="42"/>
      <x:c r="F102" s="42"/>
      <x:c r="G102" s="42"/>
      <x:c r="H102" s="42"/>
      <x:c r="I102" s="42"/>
      <x:c r="J102" s="42"/>
      <x:c r="K102" s="42"/>
      <x:c r="L102" s="42"/>
      <x:c r="M102" s="42"/>
    </x:row>
    <x:row r="103">
      <x:c r="A103" s="42"/>
      <x:c r="B103" s="42"/>
      <x:c r="C103" s="42"/>
      <x:c r="D103" s="42"/>
      <x:c r="E103" s="42"/>
      <x:c r="F103" s="42"/>
      <x:c r="G103" s="42"/>
      <x:c r="H103" s="42"/>
      <x:c r="I103" s="42"/>
      <x:c r="J103" s="42"/>
      <x:c r="K103" s="42"/>
      <x:c r="L103" s="42"/>
      <x:c r="M103" s="42"/>
    </x:row>
    <x:row r="104">
      <x:c r="A104" s="42"/>
      <x:c r="B104" s="42"/>
      <x:c r="C104" s="42"/>
      <x:c r="D104" s="42"/>
      <x:c r="E104" s="42"/>
      <x:c r="F104" s="42"/>
      <x:c r="G104" s="42"/>
      <x:c r="H104" s="42"/>
      <x:c r="I104" s="42"/>
      <x:c r="J104" s="42"/>
      <x:c r="K104" s="42"/>
      <x:c r="L104" s="42"/>
      <x:c r="M104" s="42"/>
    </x:row>
    <x:row r="105">
      <x:c r="A105" s="42"/>
      <x:c r="B105" s="42"/>
      <x:c r="C105" s="42"/>
      <x:c r="D105" s="42"/>
      <x:c r="E105" s="42"/>
      <x:c r="F105" s="42"/>
      <x:c r="G105" s="42"/>
      <x:c r="H105" s="42"/>
      <x:c r="I105" s="42"/>
      <x:c r="J105" s="42"/>
      <x:c r="K105" s="42"/>
      <x:c r="L105" s="42"/>
      <x:c r="M105" s="42"/>
    </x:row>
    <x:row r="106">
      <x:c r="A106" s="42"/>
      <x:c r="B106" s="42"/>
      <x:c r="C106" s="42"/>
      <x:c r="D106" s="42"/>
      <x:c r="E106" s="42"/>
      <x:c r="F106" s="42"/>
      <x:c r="G106" s="42"/>
      <x:c r="H106" s="42"/>
      <x:c r="I106" s="42"/>
      <x:c r="J106" s="42"/>
      <x:c r="K106" s="42"/>
      <x:c r="L106" s="42"/>
      <x:c r="M106" s="42"/>
    </x:row>
    <x:row r="107">
      <x:c r="A107" s="42"/>
      <x:c r="B107" s="42"/>
      <x:c r="C107" s="42"/>
      <x:c r="D107" s="42"/>
      <x:c r="E107" s="42"/>
      <x:c r="F107" s="42"/>
      <x:c r="G107" s="42"/>
      <x:c r="H107" s="42"/>
      <x:c r="I107" s="42"/>
      <x:c r="J107" s="42"/>
      <x:c r="K107" s="42"/>
      <x:c r="L107" s="42"/>
      <x:c r="M107" s="42"/>
    </x:row>
    <x:row r="108">
      <x:c r="A108" s="42"/>
      <x:c r="B108" s="42"/>
      <x:c r="C108" s="42"/>
      <x:c r="D108" s="42"/>
      <x:c r="E108" s="42"/>
      <x:c r="F108" s="42"/>
      <x:c r="G108" s="42"/>
      <x:c r="H108" s="42"/>
      <x:c r="I108" s="42"/>
      <x:c r="J108" s="42"/>
      <x:c r="K108" s="42"/>
      <x:c r="L108" s="42"/>
      <x:c r="M108" s="42"/>
    </x:row>
    <x:row r="109">
      <x:c r="A109" s="42"/>
      <x:c r="B109" s="42"/>
      <x:c r="C109" s="42"/>
      <x:c r="D109" s="42"/>
      <x:c r="E109" s="42"/>
      <x:c r="F109" s="42"/>
      <x:c r="G109" s="42"/>
      <x:c r="H109" s="42"/>
      <x:c r="I109" s="42"/>
      <x:c r="J109" s="42"/>
      <x:c r="K109" s="42"/>
      <x:c r="L109" s="42"/>
      <x:c r="M109" s="42"/>
    </x:row>
    <x:row r="110">
      <x:c r="A110" s="42"/>
      <x:c r="B110" s="42"/>
      <x:c r="C110" s="42"/>
      <x:c r="D110" s="42"/>
      <x:c r="E110" s="42"/>
      <x:c r="F110" s="42"/>
      <x:c r="G110" s="42"/>
      <x:c r="H110" s="42"/>
      <x:c r="I110" s="42"/>
      <x:c r="J110" s="42"/>
      <x:c r="K110" s="42"/>
      <x:c r="L110" s="42"/>
      <x:c r="M110" s="42"/>
    </x:row>
    <x:row r="111">
      <x:c r="A111" s="42"/>
      <x:c r="B111" s="42"/>
      <x:c r="C111" s="42"/>
      <x:c r="D111" s="42"/>
      <x:c r="E111" s="42"/>
      <x:c r="F111" s="42"/>
      <x:c r="G111" s="42"/>
      <x:c r="H111" s="42"/>
      <x:c r="I111" s="42"/>
      <x:c r="J111" s="42"/>
      <x:c r="K111" s="42"/>
      <x:c r="L111" s="42"/>
      <x:c r="M111" s="42"/>
    </x:row>
    <x:row r="112">
      <x:c r="A112" s="42"/>
      <x:c r="B112" s="42"/>
      <x:c r="C112" s="42"/>
      <x:c r="D112" s="42"/>
      <x:c r="E112" s="42"/>
      <x:c r="F112" s="42"/>
      <x:c r="G112" s="42"/>
      <x:c r="H112" s="42"/>
      <x:c r="I112" s="42"/>
      <x:c r="J112" s="42"/>
      <x:c r="K112" s="42"/>
      <x:c r="L112" s="42"/>
      <x:c r="M112" s="42"/>
    </x:row>
    <x:row r="113">
      <x:c r="A113" s="42"/>
      <x:c r="B113" s="42"/>
      <x:c r="C113" s="42"/>
      <x:c r="D113" s="42"/>
      <x:c r="E113" s="42"/>
      <x:c r="F113" s="42"/>
      <x:c r="G113" s="42"/>
      <x:c r="H113" s="42"/>
      <x:c r="I113" s="42"/>
      <x:c r="J113" s="42"/>
      <x:c r="K113" s="42"/>
      <x:c r="L113" s="42"/>
      <x:c r="M113" s="42"/>
    </x:row>
    <x:row r="114">
      <x:c r="A114" s="42"/>
      <x:c r="B114" s="42"/>
      <x:c r="C114" s="42"/>
      <x:c r="D114" s="42"/>
      <x:c r="E114" s="42"/>
      <x:c r="F114" s="42"/>
      <x:c r="G114" s="42"/>
      <x:c r="H114" s="42"/>
      <x:c r="I114" s="42"/>
      <x:c r="J114" s="42"/>
      <x:c r="K114" s="42"/>
      <x:c r="L114" s="42"/>
      <x:c r="M114" s="42"/>
    </x:row>
    <x:row r="115">
      <x:c r="A115" s="42"/>
      <x:c r="B115" s="42"/>
      <x:c r="C115" s="42"/>
      <x:c r="D115" s="42"/>
      <x:c r="E115" s="42"/>
      <x:c r="F115" s="42"/>
      <x:c r="G115" s="42"/>
      <x:c r="H115" s="42"/>
      <x:c r="I115" s="42"/>
      <x:c r="J115" s="42"/>
      <x:c r="K115" s="42"/>
      <x:c r="L115" s="42"/>
      <x:c r="M115" s="42"/>
    </x:row>
    <x:row r="116">
      <x:c r="A116" s="42"/>
      <x:c r="B116" s="42"/>
      <x:c r="C116" s="42"/>
      <x:c r="D116" s="42"/>
      <x:c r="E116" s="42"/>
      <x:c r="F116" s="42"/>
      <x:c r="G116" s="42"/>
      <x:c r="H116" s="42"/>
      <x:c r="I116" s="42"/>
      <x:c r="J116" s="42"/>
      <x:c r="K116" s="42"/>
      <x:c r="L116" s="42"/>
      <x:c r="M116" s="42"/>
    </x:row>
    <x:row r="117">
      <x:c r="A117" s="42"/>
      <x:c r="B117" s="42"/>
      <x:c r="C117" s="42"/>
      <x:c r="D117" s="42"/>
      <x:c r="E117" s="42"/>
      <x:c r="F117" s="42"/>
      <x:c r="G117" s="42"/>
      <x:c r="H117" s="42"/>
      <x:c r="I117" s="42"/>
      <x:c r="J117" s="42"/>
      <x:c r="K117" s="42"/>
      <x:c r="L117" s="42"/>
      <x:c r="M117" s="42"/>
    </x:row>
    <x:row r="118">
      <x:c r="A118" s="42"/>
      <x:c r="B118" s="42"/>
      <x:c r="C118" s="42"/>
      <x:c r="D118" s="42"/>
      <x:c r="E118" s="42"/>
      <x:c r="F118" s="42"/>
      <x:c r="G118" s="42"/>
      <x:c r="H118" s="42"/>
      <x:c r="I118" s="42"/>
      <x:c r="J118" s="42"/>
      <x:c r="K118" s="42"/>
      <x:c r="L118" s="42"/>
      <x:c r="M118" s="42"/>
    </x:row>
    <x:row r="119">
      <x:c r="A119" s="42"/>
      <x:c r="B119" s="42"/>
      <x:c r="C119" s="42"/>
      <x:c r="D119" s="42"/>
      <x:c r="E119" s="42"/>
      <x:c r="F119" s="42"/>
      <x:c r="G119" s="42"/>
      <x:c r="H119" s="42"/>
      <x:c r="I119" s="42"/>
      <x:c r="J119" s="42"/>
      <x:c r="K119" s="42"/>
      <x:c r="L119" s="42"/>
      <x:c r="M119" s="42"/>
    </x:row>
    <x:row r="120">
      <x:c r="A120" s="42"/>
      <x:c r="B120" s="42"/>
      <x:c r="C120" s="42"/>
      <x:c r="D120" s="42"/>
      <x:c r="E120" s="42"/>
      <x:c r="F120" s="42"/>
      <x:c r="G120" s="42"/>
      <x:c r="H120" s="42"/>
      <x:c r="I120" s="42"/>
      <x:c r="J120" s="42"/>
      <x:c r="K120" s="42"/>
      <x:c r="L120" s="42"/>
      <x:c r="M120" s="42"/>
    </x:row>
    <x:row r="121">
      <x:c r="A121" s="42"/>
      <x:c r="B121" s="42"/>
      <x:c r="C121" s="42"/>
      <x:c r="D121" s="42"/>
      <x:c r="E121" s="42"/>
      <x:c r="F121" s="42"/>
      <x:c r="G121" s="42"/>
      <x:c r="H121" s="42"/>
      <x:c r="I121" s="42"/>
      <x:c r="J121" s="42"/>
      <x:c r="K121" s="42"/>
      <x:c r="L121" s="42"/>
      <x:c r="M121" s="42"/>
    </x:row>
    <x:row r="122">
      <x:c r="A122" s="42"/>
      <x:c r="B122" s="42"/>
      <x:c r="C122" s="42"/>
      <x:c r="D122" s="42"/>
      <x:c r="E122" s="42"/>
      <x:c r="F122" s="42"/>
      <x:c r="G122" s="42"/>
      <x:c r="H122" s="42"/>
      <x:c r="I122" s="42"/>
      <x:c r="J122" s="42"/>
      <x:c r="K122" s="42"/>
      <x:c r="L122" s="42"/>
      <x:c r="M122" s="42"/>
    </x:row>
    <x:row r="123">
      <x:c r="A123" s="42"/>
      <x:c r="B123" s="42"/>
      <x:c r="C123" s="42"/>
      <x:c r="D123" s="42"/>
      <x:c r="E123" s="42"/>
      <x:c r="F123" s="42"/>
      <x:c r="G123" s="42"/>
      <x:c r="H123" s="42"/>
      <x:c r="I123" s="42"/>
      <x:c r="J123" s="42"/>
      <x:c r="K123" s="42"/>
      <x:c r="L123" s="42"/>
      <x:c r="M123" s="42"/>
    </x:row>
    <x:row r="124">
      <x:c r="A124" s="42"/>
      <x:c r="B124" s="42"/>
      <x:c r="C124" s="42"/>
      <x:c r="D124" s="42"/>
      <x:c r="E124" s="42"/>
      <x:c r="F124" s="42"/>
      <x:c r="G124" s="42"/>
      <x:c r="H124" s="42"/>
      <x:c r="I124" s="42"/>
      <x:c r="J124" s="42"/>
      <x:c r="K124" s="42"/>
      <x:c r="L124" s="42"/>
      <x:c r="M124" s="42"/>
    </x:row>
    <x:row r="125">
      <x:c r="A125" s="42"/>
      <x:c r="B125" s="42"/>
      <x:c r="C125" s="42"/>
      <x:c r="D125" s="42"/>
      <x:c r="E125" s="42"/>
      <x:c r="F125" s="42"/>
      <x:c r="G125" s="42"/>
      <x:c r="H125" s="42"/>
      <x:c r="I125" s="42"/>
      <x:c r="J125" s="42"/>
      <x:c r="K125" s="42"/>
      <x:c r="L125" s="42"/>
      <x:c r="M125" s="42"/>
    </x:row>
    <x:row r="126">
      <x:c r="A126" s="42"/>
      <x:c r="B126" s="42"/>
      <x:c r="C126" s="42"/>
      <x:c r="D126" s="42"/>
      <x:c r="E126" s="42"/>
      <x:c r="F126" s="42"/>
      <x:c r="G126" s="42"/>
      <x:c r="H126" s="42"/>
      <x:c r="I126" s="42"/>
      <x:c r="J126" s="42"/>
      <x:c r="K126" s="42"/>
      <x:c r="L126" s="42"/>
      <x:c r="M126" s="42"/>
    </x:row>
    <x:row r="127">
      <x:c r="A127" s="42"/>
      <x:c r="B127" s="42"/>
      <x:c r="C127" s="42"/>
      <x:c r="D127" s="42"/>
      <x:c r="E127" s="42"/>
      <x:c r="F127" s="42"/>
      <x:c r="G127" s="42"/>
      <x:c r="H127" s="42"/>
      <x:c r="I127" s="42"/>
      <x:c r="J127" s="42"/>
      <x:c r="K127" s="42"/>
      <x:c r="L127" s="42"/>
      <x:c r="M127" s="42"/>
    </x:row>
    <x:row r="128">
      <x:c r="A128" s="42"/>
      <x:c r="B128" s="42"/>
      <x:c r="C128" s="42"/>
      <x:c r="D128" s="42"/>
      <x:c r="E128" s="42"/>
      <x:c r="F128" s="42"/>
      <x:c r="G128" s="42"/>
      <x:c r="H128" s="42"/>
      <x:c r="I128" s="42"/>
      <x:c r="J128" s="42"/>
      <x:c r="K128" s="42"/>
      <x:c r="L128" s="42"/>
      <x:c r="M128" s="42"/>
    </x:row>
    <x:row r="129">
      <x:c r="A129" s="42"/>
      <x:c r="B129" s="42"/>
      <x:c r="C129" s="42"/>
      <x:c r="D129" s="42"/>
      <x:c r="E129" s="42"/>
      <x:c r="F129" s="42"/>
      <x:c r="G129" s="42"/>
      <x:c r="H129" s="42"/>
      <x:c r="I129" s="42"/>
      <x:c r="J129" s="42"/>
      <x:c r="K129" s="42"/>
      <x:c r="L129" s="42"/>
      <x:c r="M129" s="42"/>
    </x:row>
    <x:row r="130">
      <x:c r="A130" s="42"/>
      <x:c r="B130" s="42"/>
      <x:c r="C130" s="42"/>
      <x:c r="D130" s="42"/>
      <x:c r="E130" s="42"/>
      <x:c r="F130" s="42"/>
      <x:c r="G130" s="42"/>
      <x:c r="H130" s="42"/>
      <x:c r="I130" s="42"/>
      <x:c r="J130" s="42"/>
      <x:c r="K130" s="42"/>
      <x:c r="L130" s="42"/>
      <x:c r="M130" s="42"/>
    </x:row>
    <x:row r="131">
      <x:c r="A131" s="42"/>
      <x:c r="B131" s="42"/>
      <x:c r="C131" s="42"/>
      <x:c r="D131" s="42"/>
      <x:c r="E131" s="42"/>
      <x:c r="F131" s="42"/>
      <x:c r="G131" s="42"/>
      <x:c r="H131" s="42"/>
      <x:c r="I131" s="42"/>
      <x:c r="J131" s="42"/>
      <x:c r="K131" s="42"/>
      <x:c r="L131" s="42"/>
      <x:c r="M131" s="42"/>
    </x:row>
    <x:row r="132">
      <x:c r="A132" s="42"/>
      <x:c r="B132" s="42"/>
      <x:c r="C132" s="42"/>
      <x:c r="D132" s="42"/>
      <x:c r="E132" s="42"/>
      <x:c r="F132" s="42"/>
      <x:c r="G132" s="42"/>
      <x:c r="H132" s="42"/>
      <x:c r="I132" s="42"/>
      <x:c r="J132" s="42"/>
      <x:c r="K132" s="42"/>
      <x:c r="L132" s="42"/>
      <x:c r="M132" s="42"/>
    </x:row>
    <x:row r="133">
      <x:c r="A133" s="42"/>
      <x:c r="B133" s="42"/>
      <x:c r="C133" s="42"/>
      <x:c r="D133" s="42"/>
      <x:c r="E133" s="42"/>
      <x:c r="F133" s="42"/>
      <x:c r="G133" s="42"/>
      <x:c r="H133" s="42"/>
      <x:c r="I133" s="42"/>
      <x:c r="J133" s="42"/>
      <x:c r="K133" s="42"/>
      <x:c r="L133" s="42"/>
      <x:c r="M133" s="42"/>
    </x:row>
    <x:row r="134">
      <x:c r="A134" s="42"/>
      <x:c r="B134" s="42"/>
      <x:c r="C134" s="42"/>
      <x:c r="D134" s="42"/>
      <x:c r="E134" s="42"/>
      <x:c r="F134" s="42"/>
      <x:c r="G134" s="42"/>
      <x:c r="H134" s="42"/>
      <x:c r="I134" s="42"/>
      <x:c r="J134" s="42"/>
      <x:c r="K134" s="42"/>
      <x:c r="L134" s="42"/>
      <x:c r="M134" s="42"/>
    </x:row>
    <x:row r="135">
      <x:c r="A135" s="42"/>
      <x:c r="B135" s="42"/>
      <x:c r="C135" s="42"/>
      <x:c r="D135" s="42"/>
      <x:c r="E135" s="42"/>
      <x:c r="F135" s="42"/>
      <x:c r="G135" s="42"/>
      <x:c r="H135" s="42"/>
      <x:c r="I135" s="42"/>
      <x:c r="J135" s="42"/>
      <x:c r="K135" s="42"/>
      <x:c r="L135" s="42"/>
      <x:c r="M135" s="42"/>
    </x:row>
    <x:row r="136">
      <x:c r="A136" s="42"/>
      <x:c r="B136" s="42"/>
      <x:c r="C136" s="42"/>
      <x:c r="D136" s="42"/>
      <x:c r="E136" s="42"/>
      <x:c r="F136" s="42"/>
      <x:c r="G136" s="42"/>
      <x:c r="H136" s="42"/>
      <x:c r="I136" s="42"/>
      <x:c r="J136" s="42"/>
      <x:c r="K136" s="42"/>
      <x:c r="L136" s="42"/>
      <x:c r="M136" s="42"/>
    </x:row>
    <x:row r="137">
      <x:c r="A137" s="42"/>
      <x:c r="B137" s="42"/>
      <x:c r="C137" s="42"/>
      <x:c r="D137" s="42"/>
      <x:c r="E137" s="42"/>
      <x:c r="F137" s="42"/>
      <x:c r="G137" s="42"/>
      <x:c r="H137" s="42"/>
      <x:c r="I137" s="42"/>
      <x:c r="J137" s="42"/>
      <x:c r="K137" s="42"/>
      <x:c r="L137" s="42"/>
      <x:c r="M137" s="42"/>
    </x:row>
    <x:row r="138">
      <x:c r="A138" s="42"/>
      <x:c r="B138" s="42"/>
      <x:c r="C138" s="42"/>
      <x:c r="D138" s="42"/>
      <x:c r="E138" s="42"/>
      <x:c r="F138" s="42"/>
      <x:c r="G138" s="42"/>
      <x:c r="H138" s="42"/>
      <x:c r="I138" s="42"/>
      <x:c r="J138" s="42"/>
      <x:c r="K138" s="42"/>
      <x:c r="L138" s="42"/>
      <x:c r="M138" s="42"/>
    </x:row>
    <x:row r="139">
      <x:c r="A139" s="42"/>
      <x:c r="B139" s="42"/>
      <x:c r="C139" s="42"/>
      <x:c r="D139" s="42"/>
      <x:c r="E139" s="42"/>
      <x:c r="F139" s="42"/>
      <x:c r="G139" s="42"/>
      <x:c r="H139" s="42"/>
      <x:c r="I139" s="42"/>
      <x:c r="J139" s="42"/>
      <x:c r="K139" s="42"/>
      <x:c r="L139" s="42"/>
      <x:c r="M139" s="42"/>
    </x:row>
    <x:row r="140">
      <x:c r="A140" s="42"/>
      <x:c r="B140" s="42"/>
      <x:c r="C140" s="42"/>
      <x:c r="D140" s="42"/>
      <x:c r="E140" s="42"/>
      <x:c r="F140" s="42"/>
      <x:c r="G140" s="42"/>
      <x:c r="H140" s="42"/>
      <x:c r="I140" s="42"/>
      <x:c r="J140" s="42"/>
      <x:c r="K140" s="42"/>
      <x:c r="L140" s="42"/>
      <x:c r="M140" s="42"/>
    </x:row>
    <x:row r="141">
      <x:c r="A141" s="42"/>
      <x:c r="B141" s="42"/>
      <x:c r="C141" s="42"/>
      <x:c r="D141" s="42"/>
      <x:c r="E141" s="42"/>
      <x:c r="F141" s="42"/>
      <x:c r="G141" s="42"/>
      <x:c r="H141" s="42"/>
      <x:c r="I141" s="42"/>
      <x:c r="J141" s="42"/>
      <x:c r="K141" s="42"/>
      <x:c r="L141" s="42"/>
      <x:c r="M141" s="42"/>
    </x:row>
    <x:row r="142">
      <x:c r="A142" s="42"/>
      <x:c r="B142" s="42"/>
      <x:c r="C142" s="42"/>
      <x:c r="D142" s="42"/>
      <x:c r="E142" s="42"/>
      <x:c r="F142" s="42"/>
      <x:c r="G142" s="42"/>
      <x:c r="H142" s="42"/>
      <x:c r="I142" s="42"/>
      <x:c r="J142" s="42"/>
      <x:c r="K142" s="42"/>
      <x:c r="L142" s="42"/>
      <x:c r="M142" s="42"/>
    </x:row>
    <x:row r="143">
      <x:c r="A143" s="42"/>
      <x:c r="B143" s="42"/>
      <x:c r="C143" s="42"/>
      <x:c r="D143" s="42"/>
      <x:c r="E143" s="42"/>
      <x:c r="F143" s="42"/>
      <x:c r="G143" s="42"/>
      <x:c r="H143" s="42"/>
      <x:c r="I143" s="42"/>
      <x:c r="J143" s="42"/>
      <x:c r="K143" s="42"/>
      <x:c r="L143" s="42"/>
      <x:c r="M143" s="42"/>
    </x:row>
    <x:row r="144">
      <x:c r="A144" s="42"/>
      <x:c r="B144" s="42"/>
      <x:c r="C144" s="42"/>
      <x:c r="D144" s="42"/>
      <x:c r="E144" s="42"/>
      <x:c r="F144" s="42"/>
      <x:c r="G144" s="42"/>
      <x:c r="H144" s="42"/>
      <x:c r="I144" s="42"/>
      <x:c r="J144" s="42"/>
      <x:c r="K144" s="42"/>
      <x:c r="L144" s="42"/>
      <x:c r="M144" s="42"/>
    </x:row>
    <x:row r="145">
      <x:c r="A145" s="42"/>
      <x:c r="B145" s="42"/>
      <x:c r="C145" s="42"/>
      <x:c r="D145" s="42"/>
      <x:c r="E145" s="42"/>
      <x:c r="F145" s="42"/>
      <x:c r="G145" s="42"/>
      <x:c r="H145" s="42"/>
      <x:c r="I145" s="42"/>
      <x:c r="J145" s="42"/>
      <x:c r="K145" s="42"/>
      <x:c r="L145" s="42"/>
      <x:c r="M145" s="42"/>
    </x:row>
    <x:row r="146">
      <x:c r="A146" s="42"/>
      <x:c r="B146" s="42"/>
      <x:c r="C146" s="42"/>
      <x:c r="D146" s="42"/>
      <x:c r="E146" s="42"/>
      <x:c r="F146" s="42"/>
      <x:c r="G146" s="42"/>
      <x:c r="H146" s="42"/>
      <x:c r="I146" s="42"/>
      <x:c r="J146" s="42"/>
      <x:c r="K146" s="42"/>
      <x:c r="L146" s="42"/>
      <x:c r="M146" s="42"/>
    </x:row>
    <x:row r="147">
      <x:c r="A147" s="42"/>
      <x:c r="B147" s="42"/>
      <x:c r="C147" s="42"/>
      <x:c r="D147" s="42"/>
      <x:c r="E147" s="42"/>
      <x:c r="F147" s="42"/>
      <x:c r="G147" s="42"/>
      <x:c r="H147" s="42"/>
      <x:c r="I147" s="42"/>
      <x:c r="J147" s="42"/>
      <x:c r="K147" s="42"/>
      <x:c r="L147" s="42"/>
      <x:c r="M147" s="42"/>
    </x:row>
    <x:row r="148">
      <x:c r="A148" s="42"/>
      <x:c r="B148" s="42"/>
      <x:c r="C148" s="42"/>
      <x:c r="D148" s="42"/>
      <x:c r="E148" s="42"/>
      <x:c r="F148" s="42"/>
      <x:c r="G148" s="42"/>
      <x:c r="H148" s="42"/>
      <x:c r="I148" s="42"/>
      <x:c r="J148" s="42"/>
      <x:c r="K148" s="42"/>
      <x:c r="L148" s="42"/>
      <x:c r="M148" s="42"/>
    </x:row>
    <x:row r="149">
      <x:c r="A149" s="42"/>
      <x:c r="B149" s="42"/>
      <x:c r="C149" s="42"/>
      <x:c r="D149" s="42"/>
      <x:c r="E149" s="42"/>
      <x:c r="F149" s="42"/>
      <x:c r="G149" s="42"/>
      <x:c r="H149" s="42"/>
      <x:c r="I149" s="42"/>
      <x:c r="J149" s="42"/>
      <x:c r="K149" s="42"/>
      <x:c r="L149" s="42"/>
      <x:c r="M149" s="42"/>
    </x:row>
    <x:row r="150">
      <x:c r="A150" s="42"/>
      <x:c r="B150" s="42"/>
      <x:c r="C150" s="42"/>
      <x:c r="D150" s="42"/>
      <x:c r="E150" s="42"/>
      <x:c r="F150" s="42"/>
      <x:c r="G150" s="42"/>
      <x:c r="H150" s="42"/>
      <x:c r="I150" s="42"/>
      <x:c r="J150" s="42"/>
      <x:c r="K150" s="42"/>
      <x:c r="L150" s="42"/>
      <x:c r="M150" s="42"/>
    </x:row>
    <x:row r="151">
      <x:c r="A151" s="42"/>
      <x:c r="B151" s="42"/>
      <x:c r="C151" s="42"/>
      <x:c r="D151" s="42"/>
      <x:c r="E151" s="42"/>
      <x:c r="F151" s="42"/>
      <x:c r="G151" s="42"/>
      <x:c r="H151" s="42"/>
      <x:c r="I151" s="42"/>
      <x:c r="J151" s="42"/>
      <x:c r="K151" s="42"/>
      <x:c r="L151" s="42"/>
      <x:c r="M151" s="42"/>
    </x:row>
    <x:row r="152">
      <x:c r="A152" s="42"/>
      <x:c r="B152" s="42"/>
      <x:c r="C152" s="42"/>
      <x:c r="D152" s="42"/>
      <x:c r="E152" s="42"/>
      <x:c r="F152" s="42"/>
      <x:c r="G152" s="42"/>
      <x:c r="H152" s="42"/>
      <x:c r="I152" s="42"/>
      <x:c r="J152" s="42"/>
      <x:c r="K152" s="42"/>
      <x:c r="L152" s="42"/>
      <x:c r="M152" s="42"/>
    </x:row>
    <x:row r="153">
      <x:c r="A153" s="42"/>
      <x:c r="B153" s="42"/>
      <x:c r="C153" s="42"/>
      <x:c r="D153" s="42"/>
      <x:c r="E153" s="42"/>
      <x:c r="F153" s="42"/>
      <x:c r="G153" s="42"/>
      <x:c r="H153" s="42"/>
      <x:c r="I153" s="42"/>
      <x:c r="J153" s="42"/>
      <x:c r="K153" s="42"/>
      <x:c r="L153" s="42"/>
      <x:c r="M153" s="42"/>
    </x:row>
    <x:row r="154">
      <x:c r="A154" s="42"/>
      <x:c r="B154" s="42"/>
      <x:c r="C154" s="42"/>
      <x:c r="D154" s="42"/>
      <x:c r="E154" s="42"/>
      <x:c r="F154" s="42"/>
      <x:c r="G154" s="42"/>
      <x:c r="H154" s="42"/>
      <x:c r="I154" s="42"/>
      <x:c r="J154" s="42"/>
      <x:c r="K154" s="42"/>
      <x:c r="L154" s="42"/>
      <x:c r="M154" s="42"/>
    </x:row>
    <x:row r="155">
      <x:c r="A155" s="42"/>
      <x:c r="B155" s="42"/>
      <x:c r="C155" s="42"/>
      <x:c r="D155" s="42"/>
      <x:c r="E155" s="42"/>
      <x:c r="F155" s="42"/>
      <x:c r="G155" s="42"/>
      <x:c r="H155" s="42"/>
      <x:c r="I155" s="42"/>
      <x:c r="J155" s="42"/>
      <x:c r="K155" s="42"/>
      <x:c r="L155" s="42"/>
      <x:c r="M155" s="42"/>
    </x:row>
    <x:row r="156">
      <x:c r="A156" s="42"/>
      <x:c r="B156" s="42"/>
      <x:c r="C156" s="42"/>
      <x:c r="D156" s="42"/>
      <x:c r="E156" s="42"/>
      <x:c r="F156" s="42"/>
      <x:c r="G156" s="42"/>
      <x:c r="H156" s="42"/>
      <x:c r="I156" s="42"/>
      <x:c r="J156" s="42"/>
      <x:c r="K156" s="42"/>
      <x:c r="L156" s="42"/>
      <x:c r="M156" s="42"/>
    </x:row>
    <x:row r="157">
      <x:c r="A157" s="42"/>
      <x:c r="B157" s="42"/>
      <x:c r="C157" s="42"/>
      <x:c r="D157" s="42"/>
      <x:c r="E157" s="42"/>
      <x:c r="F157" s="42"/>
      <x:c r="G157" s="42"/>
      <x:c r="H157" s="42"/>
      <x:c r="I157" s="42"/>
      <x:c r="J157" s="42"/>
      <x:c r="K157" s="42"/>
      <x:c r="L157" s="42"/>
      <x:c r="M157" s="42"/>
    </x:row>
    <x:row r="158">
      <x:c r="A158" s="42"/>
      <x:c r="B158" s="42"/>
      <x:c r="C158" s="42"/>
      <x:c r="D158" s="42"/>
      <x:c r="E158" s="42"/>
      <x:c r="F158" s="42"/>
      <x:c r="G158" s="42"/>
      <x:c r="H158" s="42"/>
      <x:c r="I158" s="42"/>
      <x:c r="J158" s="42"/>
      <x:c r="K158" s="42"/>
      <x:c r="L158" s="42"/>
      <x:c r="M158" s="42"/>
    </x:row>
    <x:row r="159">
      <x:c r="A159" s="42"/>
      <x:c r="B159" s="42"/>
      <x:c r="C159" s="42"/>
      <x:c r="D159" s="42"/>
      <x:c r="E159" s="42"/>
      <x:c r="F159" s="42"/>
      <x:c r="G159" s="42"/>
      <x:c r="H159" s="42"/>
      <x:c r="I159" s="42"/>
      <x:c r="J159" s="42"/>
      <x:c r="K159" s="42"/>
      <x:c r="L159" s="42"/>
      <x:c r="M159" s="42"/>
    </x:row>
    <x:row r="160">
      <x:c r="A160" s="42"/>
      <x:c r="B160" s="42"/>
      <x:c r="C160" s="42"/>
      <x:c r="D160" s="42"/>
      <x:c r="E160" s="42"/>
      <x:c r="F160" s="42"/>
      <x:c r="G160" s="42"/>
      <x:c r="H160" s="42"/>
      <x:c r="I160" s="42"/>
      <x:c r="J160" s="42"/>
      <x:c r="K160" s="42"/>
      <x:c r="L160" s="42"/>
      <x:c r="M160" s="42"/>
    </x:row>
    <x:row r="161">
      <x:c r="A161" s="42"/>
      <x:c r="B161" s="42"/>
      <x:c r="C161" s="42"/>
      <x:c r="D161" s="42"/>
      <x:c r="E161" s="42"/>
      <x:c r="F161" s="42"/>
      <x:c r="G161" s="42"/>
      <x:c r="H161" s="42"/>
      <x:c r="I161" s="42"/>
      <x:c r="J161" s="42"/>
      <x:c r="K161" s="42"/>
      <x:c r="L161" s="42"/>
      <x:c r="M161" s="42"/>
    </x:row>
    <x:row r="162">
      <x:c r="A162" s="42"/>
      <x:c r="B162" s="42"/>
      <x:c r="C162" s="42"/>
      <x:c r="D162" s="42"/>
      <x:c r="E162" s="42"/>
      <x:c r="F162" s="42"/>
      <x:c r="G162" s="42"/>
      <x:c r="H162" s="42"/>
      <x:c r="I162" s="42"/>
      <x:c r="J162" s="42"/>
      <x:c r="K162" s="42"/>
      <x:c r="L162" s="42"/>
      <x:c r="M162" s="42"/>
    </x:row>
    <x:row r="163">
      <x:c r="A163" s="42"/>
      <x:c r="B163" s="42"/>
      <x:c r="C163" s="42"/>
      <x:c r="D163" s="42"/>
      <x:c r="E163" s="42"/>
      <x:c r="F163" s="42"/>
      <x:c r="G163" s="42"/>
      <x:c r="H163" s="42"/>
      <x:c r="I163" s="42"/>
      <x:c r="J163" s="42"/>
      <x:c r="K163" s="42"/>
      <x:c r="L163" s="42"/>
      <x:c r="M163" s="42"/>
    </x:row>
    <x:row r="164">
      <x:c r="A164" s="42"/>
      <x:c r="B164" s="42"/>
      <x:c r="C164" s="42"/>
      <x:c r="D164" s="42"/>
      <x:c r="E164" s="42"/>
      <x:c r="F164" s="42"/>
      <x:c r="G164" s="42"/>
      <x:c r="H164" s="42"/>
      <x:c r="I164" s="42"/>
      <x:c r="J164" s="42"/>
      <x:c r="K164" s="42"/>
      <x:c r="L164" s="42"/>
      <x:c r="M164" s="42"/>
    </x:row>
    <x:row r="165">
      <x:c r="A165" s="42"/>
      <x:c r="B165" s="42"/>
      <x:c r="C165" s="42"/>
      <x:c r="D165" s="42"/>
      <x:c r="E165" s="42"/>
      <x:c r="F165" s="42"/>
      <x:c r="G165" s="42"/>
      <x:c r="H165" s="42"/>
      <x:c r="I165" s="42"/>
      <x:c r="J165" s="42"/>
      <x:c r="K165" s="42"/>
      <x:c r="L165" s="42"/>
      <x:c r="M165" s="42"/>
    </x:row>
    <x:row r="166">
      <x:c r="A166" s="42"/>
      <x:c r="B166" s="42"/>
      <x:c r="C166" s="42"/>
      <x:c r="D166" s="42"/>
      <x:c r="E166" s="42"/>
      <x:c r="F166" s="42"/>
      <x:c r="G166" s="42"/>
      <x:c r="H166" s="42"/>
      <x:c r="I166" s="42"/>
      <x:c r="J166" s="42"/>
      <x:c r="K166" s="42"/>
      <x:c r="L166" s="42"/>
      <x:c r="M166" s="42"/>
    </x:row>
    <x:row r="167">
      <x:c r="A167" s="42"/>
      <x:c r="B167" s="42"/>
      <x:c r="C167" s="42"/>
      <x:c r="D167" s="42"/>
      <x:c r="E167" s="42"/>
      <x:c r="F167" s="42"/>
      <x:c r="G167" s="42"/>
      <x:c r="H167" s="42"/>
      <x:c r="I167" s="42"/>
      <x:c r="J167" s="42"/>
      <x:c r="K167" s="42"/>
      <x:c r="L167" s="42"/>
      <x:c r="M167" s="42"/>
    </x:row>
    <x:row r="168">
      <x:c r="A168" s="42"/>
      <x:c r="B168" s="42"/>
      <x:c r="C168" s="42"/>
      <x:c r="D168" s="42"/>
      <x:c r="E168" s="42"/>
      <x:c r="F168" s="42"/>
      <x:c r="G168" s="42"/>
      <x:c r="H168" s="42"/>
      <x:c r="I168" s="42"/>
      <x:c r="J168" s="42"/>
      <x:c r="K168" s="42"/>
      <x:c r="L168" s="42"/>
      <x:c r="M168" s="42"/>
    </x:row>
    <x:row r="169">
      <x:c r="A169" s="42"/>
      <x:c r="B169" s="42"/>
      <x:c r="C169" s="42"/>
      <x:c r="D169" s="42"/>
      <x:c r="E169" s="42"/>
      <x:c r="F169" s="42"/>
      <x:c r="G169" s="42"/>
      <x:c r="H169" s="42"/>
      <x:c r="I169" s="42"/>
      <x:c r="J169" s="42"/>
      <x:c r="K169" s="42"/>
      <x:c r="L169" s="42"/>
      <x:c r="M169" s="42"/>
    </x:row>
    <x:row r="170">
      <x:c r="A170" s="42"/>
      <x:c r="B170" s="42"/>
      <x:c r="C170" s="42"/>
      <x:c r="D170" s="42"/>
      <x:c r="E170" s="42"/>
      <x:c r="F170" s="42"/>
      <x:c r="G170" s="42"/>
      <x:c r="H170" s="42"/>
      <x:c r="I170" s="42"/>
      <x:c r="J170" s="42"/>
      <x:c r="K170" s="42"/>
      <x:c r="L170" s="42"/>
      <x:c r="M170" s="42"/>
    </x:row>
    <x:row r="171">
      <x:c r="A171" s="42"/>
      <x:c r="B171" s="42"/>
      <x:c r="C171" s="42"/>
      <x:c r="D171" s="42"/>
      <x:c r="E171" s="42"/>
      <x:c r="F171" s="42"/>
      <x:c r="G171" s="42"/>
      <x:c r="H171" s="42"/>
      <x:c r="I171" s="42"/>
      <x:c r="J171" s="42"/>
      <x:c r="K171" s="42"/>
      <x:c r="L171" s="42"/>
      <x:c r="M171" s="42"/>
    </x:row>
    <x:row r="172">
      <x:c r="A172" s="42"/>
      <x:c r="B172" s="42"/>
      <x:c r="C172" s="42"/>
      <x:c r="D172" s="42"/>
      <x:c r="E172" s="42"/>
      <x:c r="F172" s="42"/>
      <x:c r="G172" s="42"/>
      <x:c r="H172" s="42"/>
      <x:c r="I172" s="42"/>
      <x:c r="J172" s="42"/>
      <x:c r="K172" s="42"/>
      <x:c r="L172" s="42"/>
      <x:c r="M172" s="42"/>
    </x:row>
    <x:row r="173">
      <x:c r="A173" s="42"/>
      <x:c r="B173" s="42"/>
      <x:c r="C173" s="42"/>
      <x:c r="D173" s="42"/>
      <x:c r="E173" s="42"/>
      <x:c r="F173" s="42"/>
      <x:c r="G173" s="42"/>
      <x:c r="H173" s="42"/>
      <x:c r="I173" s="42"/>
      <x:c r="J173" s="42"/>
      <x:c r="K173" s="42"/>
      <x:c r="L173" s="42"/>
      <x:c r="M173" s="42"/>
    </x:row>
    <x:row r="174">
      <x:c r="A174" s="42"/>
      <x:c r="B174" s="42"/>
      <x:c r="C174" s="42"/>
      <x:c r="D174" s="42"/>
      <x:c r="E174" s="42"/>
      <x:c r="F174" s="42"/>
      <x:c r="G174" s="42"/>
      <x:c r="H174" s="42"/>
      <x:c r="I174" s="42"/>
      <x:c r="J174" s="42"/>
      <x:c r="K174" s="42"/>
      <x:c r="L174" s="42"/>
      <x:c r="M174" s="42"/>
    </x:row>
    <x:row r="175">
      <x:c r="A175" s="42"/>
      <x:c r="B175" s="42"/>
      <x:c r="C175" s="42"/>
      <x:c r="D175" s="42"/>
      <x:c r="E175" s="42"/>
      <x:c r="F175" s="42"/>
      <x:c r="G175" s="42"/>
      <x:c r="H175" s="42"/>
      <x:c r="I175" s="42"/>
      <x:c r="J175" s="42"/>
      <x:c r="K175" s="42"/>
      <x:c r="L175" s="42"/>
      <x:c r="M175" s="42"/>
    </x:row>
    <x:row r="176">
      <x:c r="A176" s="42"/>
      <x:c r="B176" s="42"/>
      <x:c r="C176" s="42"/>
      <x:c r="D176" s="42"/>
      <x:c r="E176" s="42"/>
      <x:c r="F176" s="42"/>
      <x:c r="G176" s="42"/>
      <x:c r="H176" s="42"/>
      <x:c r="I176" s="42"/>
      <x:c r="J176" s="42"/>
      <x:c r="K176" s="42"/>
      <x:c r="L176" s="42"/>
      <x:c r="M176" s="42"/>
    </x:row>
    <x:row r="177">
      <x:c r="A177" s="42"/>
      <x:c r="B177" s="42"/>
      <x:c r="C177" s="42"/>
      <x:c r="D177" s="42"/>
      <x:c r="E177" s="42"/>
      <x:c r="F177" s="42"/>
      <x:c r="G177" s="42"/>
      <x:c r="H177" s="42"/>
      <x:c r="I177" s="42"/>
      <x:c r="J177" s="42"/>
      <x:c r="K177" s="42"/>
      <x:c r="L177" s="42"/>
      <x:c r="M177" s="42"/>
    </x:row>
    <x:row r="178">
      <x:c r="A178" s="42"/>
      <x:c r="B178" s="42"/>
      <x:c r="C178" s="42"/>
      <x:c r="D178" s="42"/>
      <x:c r="E178" s="42"/>
      <x:c r="F178" s="42"/>
      <x:c r="G178" s="42"/>
      <x:c r="H178" s="42"/>
      <x:c r="I178" s="42"/>
      <x:c r="J178" s="42"/>
      <x:c r="K178" s="42"/>
      <x:c r="L178" s="42"/>
      <x:c r="M178" s="42"/>
    </x:row>
    <x:row r="179">
      <x:c r="A179" s="42"/>
      <x:c r="B179" s="42"/>
      <x:c r="C179" s="42"/>
      <x:c r="D179" s="42"/>
      <x:c r="E179" s="42"/>
      <x:c r="F179" s="42"/>
      <x:c r="G179" s="42"/>
      <x:c r="H179" s="42"/>
      <x:c r="I179" s="42"/>
      <x:c r="J179" s="42"/>
      <x:c r="K179" s="42"/>
      <x:c r="L179" s="42"/>
      <x:c r="M179" s="42"/>
    </x:row>
    <x:row r="180">
      <x:c r="A180" s="42"/>
      <x:c r="B180" s="42"/>
      <x:c r="C180" s="42"/>
      <x:c r="D180" s="42"/>
      <x:c r="E180" s="42"/>
      <x:c r="F180" s="42"/>
      <x:c r="G180" s="42"/>
      <x:c r="H180" s="42"/>
      <x:c r="I180" s="42"/>
      <x:c r="J180" s="42"/>
      <x:c r="K180" s="42"/>
      <x:c r="L180" s="42"/>
      <x:c r="M180" s="42"/>
    </x:row>
    <x:row r="181">
      <x:c r="A181" s="42"/>
      <x:c r="B181" s="42"/>
      <x:c r="C181" s="42"/>
      <x:c r="D181" s="42"/>
      <x:c r="E181" s="42"/>
      <x:c r="F181" s="42"/>
      <x:c r="G181" s="42"/>
      <x:c r="H181" s="42"/>
      <x:c r="I181" s="42"/>
      <x:c r="J181" s="42"/>
      <x:c r="K181" s="42"/>
      <x:c r="L181" s="42"/>
      <x:c r="M181" s="42"/>
    </x:row>
    <x:row r="182">
      <x:c r="A182" s="42"/>
      <x:c r="B182" s="42"/>
      <x:c r="C182" s="42"/>
      <x:c r="D182" s="42"/>
      <x:c r="E182" s="42"/>
      <x:c r="F182" s="42"/>
      <x:c r="G182" s="42"/>
      <x:c r="H182" s="42"/>
      <x:c r="I182" s="42"/>
      <x:c r="J182" s="42"/>
      <x:c r="K182" s="42"/>
      <x:c r="L182" s="42"/>
      <x:c r="M182" s="42"/>
    </x:row>
    <x:row r="183">
      <x:c r="A183" s="42"/>
      <x:c r="B183" s="42"/>
      <x:c r="C183" s="42"/>
      <x:c r="D183" s="42"/>
      <x:c r="E183" s="42"/>
      <x:c r="F183" s="42"/>
      <x:c r="G183" s="42"/>
      <x:c r="H183" s="42"/>
      <x:c r="I183" s="42"/>
      <x:c r="J183" s="42"/>
      <x:c r="K183" s="42"/>
      <x:c r="L183" s="42"/>
      <x:c r="M183" s="42"/>
    </x:row>
    <x:row r="184">
      <x:c r="A184" s="42"/>
      <x:c r="B184" s="42"/>
      <x:c r="C184" s="42"/>
      <x:c r="D184" s="42"/>
      <x:c r="E184" s="42"/>
      <x:c r="F184" s="42"/>
      <x:c r="G184" s="42"/>
      <x:c r="H184" s="42"/>
      <x:c r="I184" s="42"/>
      <x:c r="J184" s="42"/>
      <x:c r="K184" s="42"/>
      <x:c r="L184" s="42"/>
      <x:c r="M184" s="42"/>
    </x:row>
    <x:row r="185">
      <x:c r="A185" s="42"/>
      <x:c r="B185" s="42"/>
      <x:c r="C185" s="42"/>
      <x:c r="D185" s="42"/>
      <x:c r="E185" s="42"/>
      <x:c r="F185" s="42"/>
      <x:c r="G185" s="42"/>
      <x:c r="H185" s="42"/>
      <x:c r="I185" s="42"/>
      <x:c r="J185" s="42"/>
      <x:c r="K185" s="42"/>
      <x:c r="L185" s="42"/>
      <x:c r="M185" s="42"/>
    </x:row>
    <x:row r="186">
      <x:c r="A186" s="42"/>
      <x:c r="B186" s="42"/>
      <x:c r="C186" s="42"/>
      <x:c r="D186" s="42"/>
      <x:c r="E186" s="42"/>
      <x:c r="F186" s="42"/>
      <x:c r="G186" s="42"/>
      <x:c r="H186" s="42"/>
      <x:c r="I186" s="42"/>
      <x:c r="J186" s="42"/>
      <x:c r="K186" s="42"/>
      <x:c r="L186" s="42"/>
      <x:c r="M186" s="42"/>
    </x:row>
    <x:row r="187">
      <x:c r="A187" s="42"/>
      <x:c r="B187" s="42"/>
      <x:c r="C187" s="42"/>
      <x:c r="D187" s="42"/>
      <x:c r="E187" s="42"/>
      <x:c r="F187" s="42"/>
      <x:c r="G187" s="42"/>
      <x:c r="H187" s="42"/>
      <x:c r="I187" s="42"/>
      <x:c r="J187" s="42"/>
      <x:c r="K187" s="42"/>
      <x:c r="L187" s="42"/>
      <x:c r="M187" s="42"/>
    </x:row>
    <x:row r="188">
      <x:c r="A188" s="42"/>
      <x:c r="B188" s="42"/>
      <x:c r="C188" s="42"/>
      <x:c r="D188" s="42"/>
      <x:c r="E188" s="42"/>
      <x:c r="F188" s="42"/>
      <x:c r="G188" s="42"/>
      <x:c r="H188" s="42"/>
      <x:c r="I188" s="42"/>
      <x:c r="J188" s="42"/>
      <x:c r="K188" s="42"/>
      <x:c r="L188" s="42"/>
      <x:c r="M188" s="42"/>
    </x:row>
    <x:row r="189">
      <x:c r="A189" s="42"/>
      <x:c r="B189" s="42"/>
      <x:c r="C189" s="42"/>
      <x:c r="D189" s="42"/>
      <x:c r="E189" s="42"/>
      <x:c r="F189" s="42"/>
      <x:c r="G189" s="42"/>
      <x:c r="H189" s="42"/>
      <x:c r="I189" s="42"/>
      <x:c r="J189" s="42"/>
      <x:c r="K189" s="42"/>
      <x:c r="L189" s="42"/>
      <x:c r="M189" s="42"/>
    </x:row>
    <x:row r="190">
      <x:c r="A190" s="42"/>
      <x:c r="B190" s="42"/>
      <x:c r="C190" s="42"/>
      <x:c r="D190" s="42"/>
      <x:c r="E190" s="42"/>
      <x:c r="F190" s="42"/>
      <x:c r="G190" s="42"/>
      <x:c r="H190" s="42"/>
      <x:c r="I190" s="42"/>
      <x:c r="J190" s="42"/>
      <x:c r="K190" s="42"/>
      <x:c r="L190" s="42"/>
      <x:c r="M190" s="42"/>
    </x:row>
    <x:row r="191">
      <x:c r="A191" s="42"/>
      <x:c r="B191" s="42"/>
      <x:c r="C191" s="42"/>
      <x:c r="D191" s="42"/>
      <x:c r="E191" s="42"/>
      <x:c r="F191" s="42"/>
      <x:c r="G191" s="42"/>
      <x:c r="H191" s="42"/>
      <x:c r="I191" s="42"/>
      <x:c r="J191" s="42"/>
      <x:c r="K191" s="42"/>
      <x:c r="L191" s="42"/>
      <x:c r="M191" s="42"/>
    </x:row>
    <x:row r="192">
      <x:c r="A192" s="42"/>
      <x:c r="B192" s="42"/>
      <x:c r="C192" s="42"/>
      <x:c r="D192" s="42"/>
      <x:c r="E192" s="42"/>
      <x:c r="F192" s="42"/>
      <x:c r="G192" s="42"/>
      <x:c r="H192" s="42"/>
      <x:c r="I192" s="42"/>
      <x:c r="J192" s="42"/>
      <x:c r="K192" s="42"/>
      <x:c r="L192" s="42"/>
      <x:c r="M192" s="42"/>
    </x:row>
    <x:row r="193">
      <x:c r="A193" s="42"/>
      <x:c r="B193" s="42"/>
      <x:c r="C193" s="42"/>
      <x:c r="D193" s="42"/>
      <x:c r="E193" s="42"/>
      <x:c r="F193" s="42"/>
      <x:c r="G193" s="42"/>
      <x:c r="H193" s="42"/>
      <x:c r="I193" s="42"/>
      <x:c r="J193" s="42"/>
      <x:c r="K193" s="42"/>
      <x:c r="L193" s="42"/>
      <x:c r="M193" s="42"/>
    </x:row>
    <x:row r="194">
      <x:c r="A194" s="42"/>
      <x:c r="B194" s="42"/>
      <x:c r="C194" s="42"/>
      <x:c r="D194" s="42"/>
      <x:c r="E194" s="42"/>
      <x:c r="F194" s="42"/>
      <x:c r="G194" s="42"/>
      <x:c r="H194" s="42"/>
      <x:c r="I194" s="42"/>
      <x:c r="J194" s="42"/>
      <x:c r="K194" s="42"/>
      <x:c r="L194" s="42"/>
      <x:c r="M194" s="42"/>
    </x:row>
    <x:row r="195">
      <x:c r="A195" s="42"/>
      <x:c r="B195" s="42"/>
      <x:c r="C195" s="42"/>
      <x:c r="D195" s="42"/>
      <x:c r="E195" s="42"/>
      <x:c r="F195" s="42"/>
      <x:c r="G195" s="42"/>
      <x:c r="H195" s="42"/>
      <x:c r="I195" s="42"/>
      <x:c r="J195" s="42"/>
      <x:c r="K195" s="42"/>
      <x:c r="L195" s="42"/>
      <x:c r="M195" s="42"/>
    </x:row>
    <x:row r="196">
      <x:c r="A196" s="42"/>
      <x:c r="B196" s="42"/>
      <x:c r="C196" s="42"/>
      <x:c r="D196" s="42"/>
      <x:c r="E196" s="42"/>
      <x:c r="F196" s="42"/>
      <x:c r="G196" s="42"/>
      <x:c r="H196" s="42"/>
      <x:c r="I196" s="42"/>
      <x:c r="J196" s="42"/>
      <x:c r="K196" s="42"/>
      <x:c r="L196" s="42"/>
      <x:c r="M196" s="42"/>
    </x:row>
    <x:row r="197">
      <x:c r="A197" s="42"/>
      <x:c r="B197" s="42"/>
      <x:c r="C197" s="42"/>
      <x:c r="D197" s="42"/>
      <x:c r="E197" s="42"/>
      <x:c r="F197" s="42"/>
      <x:c r="G197" s="42"/>
      <x:c r="H197" s="42"/>
      <x:c r="I197" s="42"/>
      <x:c r="J197" s="42"/>
      <x:c r="K197" s="42"/>
      <x:c r="L197" s="42"/>
      <x:c r="M197" s="42"/>
    </x:row>
    <x:row r="198">
      <x:c r="A198" s="42"/>
      <x:c r="B198" s="42"/>
      <x:c r="C198" s="42"/>
      <x:c r="D198" s="42"/>
      <x:c r="E198" s="42"/>
      <x:c r="F198" s="42"/>
      <x:c r="G198" s="42"/>
      <x:c r="H198" s="42"/>
      <x:c r="I198" s="42"/>
      <x:c r="J198" s="42"/>
      <x:c r="K198" s="42"/>
      <x:c r="L198" s="42"/>
      <x:c r="M198" s="42"/>
    </x:row>
    <x:row r="199">
      <x:c r="A199" s="42"/>
      <x:c r="B199" s="42"/>
      <x:c r="C199" s="42"/>
      <x:c r="D199" s="42"/>
      <x:c r="E199" s="42"/>
      <x:c r="F199" s="42"/>
      <x:c r="G199" s="42"/>
      <x:c r="H199" s="42"/>
      <x:c r="I199" s="42"/>
      <x:c r="J199" s="42"/>
      <x:c r="K199" s="42"/>
      <x:c r="L199" s="42"/>
      <x:c r="M199" s="42"/>
    </x:row>
    <x:row r="200">
      <x:c r="A200" s="42"/>
      <x:c r="B200" s="42"/>
      <x:c r="C200" s="42"/>
      <x:c r="D200" s="42"/>
      <x:c r="E200" s="42"/>
      <x:c r="F200" s="42"/>
      <x:c r="G200" s="42"/>
      <x:c r="H200" s="42"/>
      <x:c r="I200" s="42"/>
      <x:c r="J200" s="42"/>
      <x:c r="K200" s="42"/>
      <x:c r="L200" s="42"/>
      <x:c r="M200" s="42"/>
    </x:row>
  </x:sheetData>
  <x:mergeCells>
    <x:mergeCell ref="A1:M1"/>
    <x:mergeCell ref="A2:M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.630001068115234" hidden="0" customWidth="1"/>
    <x:col min="2" max="2" width="11.880000114440918" hidden="0" customWidth="1"/>
    <x:col min="3" max="3" width="11.880000114440918" hidden="0" customWidth="1"/>
    <x:col min="4" max="4" width="11.880000114440918" hidden="0" customWidth="1"/>
    <x:col min="5" max="5" width="11.880000114440918" hidden="0" customWidth="1"/>
    <x:col min="6" max="6" width="11.880000114440918" hidden="0" customWidth="1"/>
    <x:col min="7" max="7" width="11.880000114440918" hidden="0" customWidth="1"/>
    <x:col min="8" max="8" width="11.880000114440918" hidden="0" customWidth="1"/>
    <x:col min="9" max="9" width="11.880000114440918" hidden="0" customWidth="1"/>
    <x:col min="10" max="10" width="11.880000114440918" hidden="0" customWidth="1"/>
    <x:col min="11" max="11" width="11.880000114440918" hidden="0" customWidth="1"/>
    <x:col min="12" max="12" width="11.880000114440918" hidden="0" customWidth="1"/>
    <x:col min="13" max="13" width="11.880000114440918" hidden="0" customWidth="1"/>
    <x:col min="15" max="15" width="27.5" hidden="0" customWidth="1"/>
    <x:col min="16" max="16" width="15" hidden="0" customWidth="1"/>
    <x:col min="17" max="17" width="15" hidden="0" customWidth="1"/>
    <x:col min="18" max="18" width="15" hidden="0" customWidth="1"/>
  </x:cols>
  <x:sheetData>
    <x:row r="1" ht="25.5" customHeight="1">
      <x:c r="A1" s="41" t="str">
        <x:v>Лист. Оптимистичный сценарий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</x:row>
    <x:row r="2" ht="22.5" customHeight="1">
      <x:c r="A2" s="43" t="str">
        <x:v>Укрупненный сценарий для защиты: пользователи, платящие, доход, расходы, прибыль, рентабельность.</x:v>
      </x:c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</x:row>
    <x:row r="3">
      <x:c r="A3" s="42"/>
      <x:c r="B3" s="42"/>
      <x:c r="C3" s="42"/>
      <x:c r="D3" s="42"/>
      <x:c r="E3" s="42"/>
      <x:c r="F3" s="42"/>
      <x:c r="G3" s="42"/>
      <x:c r="H3" s="42"/>
      <x:c r="I3" s="42"/>
      <x:c r="J3" s="42"/>
      <x:c r="K3" s="42"/>
      <x:c r="L3" s="42"/>
      <x:c r="M3" s="42"/>
    </x:row>
    <x:row r="4">
      <x:c r="A4" s="44" t="str">
        <x:v>Показатель</x:v>
      </x:c>
      <x:c r="B4" s="44" t="str">
        <x:v>М1</x:v>
      </x:c>
      <x:c r="C4" s="44" t="str">
        <x:v>М2</x:v>
      </x:c>
      <x:c r="D4" s="44" t="str">
        <x:v>М3</x:v>
      </x:c>
      <x:c r="E4" s="44" t="str">
        <x:v>М4</x:v>
      </x:c>
      <x:c r="F4" s="44" t="str">
        <x:v>М5</x:v>
      </x:c>
      <x:c r="G4" s="44" t="str">
        <x:v>М6</x:v>
      </x:c>
      <x:c r="H4" s="44" t="str">
        <x:v>М7</x:v>
      </x:c>
      <x:c r="I4" s="44" t="str">
        <x:v>М8</x:v>
      </x:c>
      <x:c r="J4" s="44" t="str">
        <x:v>М9</x:v>
      </x:c>
      <x:c r="K4" s="44" t="str">
        <x:v>М10</x:v>
      </x:c>
      <x:c r="L4" s="44" t="str">
        <x:v>М11</x:v>
      </x:c>
      <x:c r="M4" s="44" t="str">
        <x:v>М12</x:v>
      </x:c>
      <x:c r="O4" s="13" t="str">
        <x:v>Сводка сценария</x:v>
      </x:c>
      <x:c r="P4" s="13" t="str">
        <x:v>2-3 мес.</x:v>
      </x:c>
      <x:c r="Q4" s="13" t="str">
        <x:v>3-6 мес.</x:v>
      </x:c>
      <x:c r="R4" s="13" t="str">
        <x:v>12 мес.</x:v>
      </x:c>
    </x:row>
    <x:row r="5">
      <x:c r="A5" s="45" t="str">
        <x:v>Посетители сайта</x:v>
      </x:c>
      <x:c r="B5" s="62" t="n">
        <x:f>ROUND('Исходные данные'!B43*'Исходные данные'!$I$12,0)</x:f>
        <x:v>2250</x:v>
      </x:c>
      <x:c r="C5" s="62" t="n">
        <x:f>ROUND('Исходные данные'!C43*'Исходные данные'!$I$12,0)</x:f>
        <x:v>4500</x:v>
      </x:c>
      <x:c r="D5" s="62" t="n">
        <x:f>ROUND('Исходные данные'!D43*'Исходные данные'!$I$12,0)</x:f>
        <x:v>9000</x:v>
      </x:c>
      <x:c r="E5" s="62" t="n">
        <x:f>ROUND('Исходные данные'!E43*'Исходные данные'!$I$12,0)</x:f>
        <x:v>15000</x:v>
      </x:c>
      <x:c r="F5" s="62" t="n">
        <x:f>ROUND('Исходные данные'!F43*'Исходные данные'!$I$12,0)</x:f>
        <x:v>27000</x:v>
      </x:c>
      <x:c r="G5" s="62" t="n">
        <x:f>ROUND('Исходные данные'!G43*'Исходные данные'!$I$12,0)</x:f>
        <x:v>45000</x:v>
      </x:c>
      <x:c r="H5" s="62" t="n">
        <x:f>ROUND('Исходные данные'!H43*'Исходные данные'!$I$12,0)</x:f>
        <x:v>67500</x:v>
      </x:c>
      <x:c r="I5" s="62" t="n">
        <x:f>ROUND('Исходные данные'!I43*'Исходные данные'!$I$12,0)</x:f>
        <x:v>97500</x:v>
      </x:c>
      <x:c r="J5" s="62" t="n">
        <x:f>ROUND('Исходные данные'!J43*'Исходные данные'!$I$12,0)</x:f>
        <x:v>127500</x:v>
      </x:c>
      <x:c r="K5" s="62" t="n">
        <x:f>ROUND('Исходные данные'!K43*'Исходные данные'!$I$12,0)</x:f>
        <x:v>165000</x:v>
      </x:c>
      <x:c r="L5" s="62" t="n">
        <x:f>ROUND('Исходные данные'!L43*'Исходные данные'!$I$12,0)</x:f>
        <x:v>195000</x:v>
      </x:c>
      <x:c r="M5" s="62" t="n">
        <x:f>ROUND('Исходные данные'!M43*'Исходные данные'!$I$12,0)</x:f>
        <x:v>225000</x:v>
      </x:c>
      <x:c r="O5" s="16" t="str">
        <x:v>Пользователи / активации</x:v>
      </x:c>
      <x:c r="P5" s="27" t="n">
        <x:f>SUM(C9:D9)</x:f>
        <x:v>1582</x:v>
      </x:c>
      <x:c r="Q5" s="27" t="n">
        <x:f>SUM(D9:G9)</x:f>
        <x:v>13260</x:v>
      </x:c>
      <x:c r="R5" s="27" t="n">
        <x:f>SUM(B9:M9)</x:f>
        <x:v>177094</x:v>
      </x:c>
    </x:row>
    <x:row r="6">
      <x:c r="A6" s="45" t="str">
        <x:v>Site → Bot</x:v>
      </x:c>
      <x:c r="B6" s="63" t="n">
        <x:f>MIN(60%,'Исходные данные'!B44*SQRT('Исходные данные'!$I$13))</x:f>
        <x:v>0.2556169008496895</x:v>
      </x:c>
      <x:c r="C6" s="63" t="n">
        <x:f>MIN(60%,'Исходные данные'!C44*SQRT('Исходные данные'!$I$13))</x:f>
        <x:v>0.2672358508883118</x:v>
      </x:c>
      <x:c r="D6" s="63" t="n">
        <x:f>MIN(60%,'Исходные данные'!D44*SQRT('Исходные данные'!$I$13))</x:f>
        <x:v>0.278854800926934</x:v>
      </x:c>
      <x:c r="E6" s="63" t="n">
        <x:f>MIN(60%,'Исходные данные'!E44*SQRT('Исходные данные'!$I$13))</x:f>
        <x:v>0.2904737509655563</x:v>
      </x:c>
      <x:c r="F6" s="63" t="n">
        <x:f>MIN(60%,'Исходные данные'!F44*SQRT('Исходные данные'!$I$13))</x:f>
        <x:v>0.30209270100417857</x:v>
      </x:c>
      <x:c r="G6" s="63" t="n">
        <x:f>MIN(60%,'Исходные данные'!G44*SQRT('Исходные данные'!$I$13))</x:f>
        <x:v>0.3137116510428008</x:v>
      </x:c>
      <x:c r="H6" s="63" t="n">
        <x:f>MIN(60%,'Исходные данные'!H44*SQRT('Исходные данные'!$I$13))</x:f>
        <x:v>0.3253306010814231</x:v>
      </x:c>
      <x:c r="I6" s="63" t="n">
        <x:f>MIN(60%,'Исходные данные'!I44*SQRT('Исходные данные'!$I$13))</x:f>
        <x:v>0.33694955112004527</x:v>
      </x:c>
      <x:c r="J6" s="63" t="n">
        <x:f>MIN(60%,'Исходные данные'!J44*SQRT('Исходные данные'!$I$13))</x:f>
        <x:v>0.3485685011586675</x:v>
      </x:c>
      <x:c r="K6" s="63" t="n">
        <x:f>MIN(60%,'Исходные данные'!K44*SQRT('Исходные данные'!$I$13))</x:f>
        <x:v>0.3601874511972898</x:v>
      </x:c>
      <x:c r="L6" s="63" t="n">
        <x:f>MIN(60%,'Исходные данные'!L44*SQRT('Исходные данные'!$I$13))</x:f>
        <x:v>0.371806401235912</x:v>
      </x:c>
      <x:c r="M6" s="63" t="n">
        <x:f>MIN(60%,'Исходные данные'!M44*SQRT('Исходные данные'!$I$13))</x:f>
        <x:v>0.3834253512745343</x:v>
      </x:c>
      <x:c r="O6" s="16" t="str">
        <x:v>Платящие на конец</x:v>
      </x:c>
      <x:c r="P6" s="27" t="n">
        <x:f>D13</x:f>
        <x:v>61</x:v>
      </x:c>
      <x:c r="Q6" s="27" t="n">
        <x:f>G13</x:f>
        <x:v>550</x:v>
      </x:c>
      <x:c r="R6" s="27" t="n">
        <x:f>M13</x:f>
        <x:v>8735</x:v>
      </x:c>
    </x:row>
    <x:row r="7">
      <x:c r="A7" s="45" t="str">
        <x:v>Запуски бота</x:v>
      </x:c>
      <x:c r="B7" s="62" t="n">
        <x:f>ROUND(B5*B6,0)</x:f>
        <x:v>575</x:v>
      </x:c>
      <x:c r="C7" s="62" t="n">
        <x:f>ROUND(C5*C6,0)</x:f>
        <x:v>1203</x:v>
      </x:c>
      <x:c r="D7" s="62" t="n">
        <x:f>ROUND(D5*D6,0)</x:f>
        <x:v>2510</x:v>
      </x:c>
      <x:c r="E7" s="62" t="n">
        <x:f>ROUND(E5*E6,0)</x:f>
        <x:v>4357</x:v>
      </x:c>
      <x:c r="F7" s="62" t="n">
        <x:f>ROUND(F5*F6,0)</x:f>
        <x:v>8157</x:v>
      </x:c>
      <x:c r="G7" s="62" t="n">
        <x:f>ROUND(G5*G6,0)</x:f>
        <x:v>14117</x:v>
      </x:c>
      <x:c r="H7" s="62" t="n">
        <x:f>ROUND(H5*H6,0)</x:f>
        <x:v>21960</x:v>
      </x:c>
      <x:c r="I7" s="62" t="n">
        <x:f>ROUND(I5*I6,0)</x:f>
        <x:v>32853</x:v>
      </x:c>
      <x:c r="J7" s="62" t="n">
        <x:f>ROUND(J5*J6,0)</x:f>
        <x:v>44442</x:v>
      </x:c>
      <x:c r="K7" s="62" t="n">
        <x:f>ROUND(K5*K6,0)</x:f>
        <x:v>59431</x:v>
      </x:c>
      <x:c r="L7" s="62" t="n">
        <x:f>ROUND(L5*L6,0)</x:f>
        <x:v>72502</x:v>
      </x:c>
      <x:c r="M7" s="62" t="n">
        <x:f>ROUND(M5*M6,0)</x:f>
        <x:v>86271</x:v>
      </x:c>
      <x:c r="O7" s="16" t="str">
        <x:v>Доход</x:v>
      </x:c>
      <x:c r="P7" s="26" t="n">
        <x:f>SUM(C15:D15)</x:f>
        <x:v>15327.091368225001</x:v>
      </x:c>
      <x:c r="Q7" s="26" t="n">
        <x:f>SUM(D15:G15)</x:f>
        <x:v>185384.81940615003</x:v>
      </x:c>
      <x:c r="R7" s="26" t="n">
        <x:f>SUM(B15:M15)</x:f>
        <x:v>4743004.916971913</x:v>
      </x:c>
    </x:row>
    <x:row r="8">
      <x:c r="A8" s="45" t="str">
        <x:v>Activation rate</x:v>
      </x:c>
      <x:c r="B8" s="63" t="n">
        <x:f>MIN(70%,'Исходные данные'!B45*SQRT('Исходные данные'!$I$13))</x:f>
        <x:v>0.4066632513517788</x:v>
      </x:c>
      <x:c r="C8" s="63" t="n">
        <x:f>MIN(70%,'Исходные данные'!C45*SQRT('Исходные данные'!$I$13))</x:f>
        <x:v>0.418282201390401</x:v>
      </x:c>
      <x:c r="D8" s="63" t="n">
        <x:f>MIN(70%,'Исходные данные'!D45*SQRT('Исходные данные'!$I$13))</x:f>
        <x:v>0.4299011514290233</x:v>
      </x:c>
      <x:c r="E8" s="63" t="n">
        <x:f>MIN(70%,'Исходные данные'!E45*SQRT('Исходные данные'!$I$13))</x:f>
        <x:v>0.44152010146764553</x:v>
      </x:c>
      <x:c r="F8" s="63" t="n">
        <x:f>MIN(70%,'Исходные данные'!F45*SQRT('Исходные данные'!$I$13))</x:f>
        <x:v>0.4531390515062678</x:v>
      </x:c>
      <x:c r="G8" s="63" t="n">
        <x:f>MIN(70%,'Исходные данные'!G45*SQRT('Исходные данные'!$I$13))</x:f>
        <x:v>0.46475800154489005</x:v>
      </x:c>
      <x:c r="H8" s="63" t="n">
        <x:f>MIN(70%,'Исходные данные'!H45*SQRT('Исходные данные'!$I$13))</x:f>
        <x:v>0.4763769515835123</x:v>
      </x:c>
      <x:c r="I8" s="63" t="n">
        <x:f>MIN(70%,'Исходные данные'!I45*SQRT('Исходные данные'!$I$13))</x:f>
        <x:v>0.4879959016221345</x:v>
      </x:c>
      <x:c r="J8" s="63" t="n">
        <x:f>MIN(70%,'Исходные данные'!J45*SQRT('Исходные данные'!$I$13))</x:f>
        <x:v>0.4996148516607568</x:v>
      </x:c>
      <x:c r="K8" s="63" t="n">
        <x:f>MIN(70%,'Исходные данные'!K45*SQRT('Исходные данные'!$I$13))</x:f>
        <x:v>0.511233801699379</x:v>
      </x:c>
      <x:c r="L8" s="63" t="n">
        <x:f>MIN(70%,'Исходные данные'!L45*SQRT('Исходные данные'!$I$13))</x:f>
        <x:v>0.5228527517380013</x:v>
      </x:c>
      <x:c r="M8" s="63" t="n">
        <x:f>MIN(70%,'Исходные данные'!M45*SQRT('Исходные данные'!$I$13))</x:f>
        <x:v>0.5344717017766236</x:v>
      </x:c>
      <x:c r="O8" s="16" t="str">
        <x:v>Расходы</x:v>
      </x:c>
      <x:c r="P8" s="26" t="n">
        <x:f>SUM(C19:D19)</x:f>
        <x:v>261980.742734033</x:v>
      </x:c>
      <x:c r="Q8" s="26" t="n">
        <x:f>SUM(D19:G19)</x:f>
        <x:v>887263.554973542</x:v>
      </x:c>
      <x:c r="R8" s="26" t="n">
        <x:f>SUM(B19:M19)</x:f>
        <x:v>4977654.30510064</x:v>
      </x:c>
    </x:row>
    <x:row r="9">
      <x:c r="A9" s="45" t="str">
        <x:v>Активированные пользователи</x:v>
      </x:c>
      <x:c r="B9" s="62" t="n">
        <x:f>ROUND(B7*B8,0)</x:f>
        <x:v>234</x:v>
      </x:c>
      <x:c r="C9" s="62" t="n">
        <x:f>ROUND(C7*C8,0)</x:f>
        <x:v>503</x:v>
      </x:c>
      <x:c r="D9" s="62" t="n">
        <x:f>ROUND(D7*D8,0)</x:f>
        <x:v>1079</x:v>
      </x:c>
      <x:c r="E9" s="62" t="n">
        <x:f>ROUND(E7*E8,0)</x:f>
        <x:v>1924</x:v>
      </x:c>
      <x:c r="F9" s="62" t="n">
        <x:f>ROUND(F7*F8,0)</x:f>
        <x:v>3696</x:v>
      </x:c>
      <x:c r="G9" s="62" t="n">
        <x:f>ROUND(G7*G8,0)</x:f>
        <x:v>6561</x:v>
      </x:c>
      <x:c r="H9" s="62" t="n">
        <x:f>ROUND(H7*H8,0)</x:f>
        <x:v>10461</x:v>
      </x:c>
      <x:c r="I9" s="62" t="n">
        <x:f>ROUND(I7*I8,0)</x:f>
        <x:v>16032</x:v>
      </x:c>
      <x:c r="J9" s="62" t="n">
        <x:f>ROUND(J7*J8,0)</x:f>
        <x:v>22204</x:v>
      </x:c>
      <x:c r="K9" s="62" t="n">
        <x:f>ROUND(K7*K8,0)</x:f>
        <x:v>30383</x:v>
      </x:c>
      <x:c r="L9" s="62" t="n">
        <x:f>ROUND(L7*L8,0)</x:f>
        <x:v>37908</x:v>
      </x:c>
      <x:c r="M9" s="62" t="n">
        <x:f>ROUND(M7*M8,0)</x:f>
        <x:v>46109</x:v>
      </x:c>
      <x:c r="O9" s="16" t="str">
        <x:v>Прибыль</x:v>
      </x:c>
      <x:c r="P9" s="26" t="n">
        <x:f>SUM(C20:D20)</x:f>
        <x:v>-246653.651365808</x:v>
      </x:c>
      <x:c r="Q9" s="26" t="n">
        <x:f>SUM(D20:G20)</x:f>
        <x:v>-701878.7355673921</x:v>
      </x:c>
      <x:c r="R9" s="26" t="n">
        <x:f>SUM(B20:M20)</x:f>
        <x:v>-234649.3881287278</x:v>
      </x:c>
    </x:row>
    <x:row r="10">
      <x:c r="A10" s="45" t="str">
        <x:v>Paid conversion from activated</x:v>
      </x:c>
      <x:c r="B10" s="63" t="n">
        <x:f>MIN(20%,('Исходные данные'!B46+'Исходные данные'!B47+'Исходные данные'!B48)*'Исходные данные'!$I$13)</x:f>
        <x:v>0.029025000000000006</x:v>
      </x:c>
      <x:c r="C10" s="63" t="n">
        <x:f>MIN(20%,('Исходные данные'!C46+'Исходные данные'!C47+'Исходные данные'!C48)*'Исходные данные'!$I$13)</x:f>
        <x:v>0.03321</x:v>
      </x:c>
      <x:c r="D10" s="63" t="n">
        <x:f>MIN(20%,('Исходные данные'!D46+'Исходные данные'!D47+'Исходные данные'!D48)*'Исходные данные'!$I$13)</x:f>
        <x:v>0.037395</x:v>
      </x:c>
      <x:c r="E10" s="63" t="n">
        <x:f>MIN(20%,('Исходные данные'!E46+'Исходные данные'!E47+'Исходные данные'!E48)*'Исходные данные'!$I$13)</x:f>
        <x:v>0.039555</x:v>
      </x:c>
      <x:c r="F10" s="63" t="n">
        <x:f>MIN(20%,('Исходные данные'!F46+'Исходные данные'!F47+'Исходные данные'!F48)*'Исходные данные'!$I$13)</x:f>
        <x:v>0.041715</x:v>
      </x:c>
      <x:c r="G10" s="63" t="n">
        <x:f>MIN(20%,('Исходные данные'!G46+'Исходные данные'!G47+'Исходные данные'!G48)*'Исходные данные'!$I$13)</x:f>
        <x:v>0.04522500000000001</x:v>
      </x:c>
      <x:c r="H10" s="63" t="n">
        <x:f>MIN(20%,('Исходные данные'!H46+'Исходные данные'!H47+'Исходные данные'!H48)*'Исходные данные'!$I$13)</x:f>
        <x:v>0.047385000000000004</x:v>
      </x:c>
      <x:c r="I10" s="63" t="n">
        <x:f>MIN(20%,('Исходные данные'!I46+'Исходные данные'!I47+'Исходные данные'!I48)*'Исходные данные'!$I$13)</x:f>
        <x:v>0.050895</x:v>
      </x:c>
      <x:c r="J10" s="63" t="n">
        <x:f>MIN(20%,('Исходные данные'!J46+'Исходные данные'!J47+'Исходные данные'!J48)*'Исходные данные'!$I$13)</x:f>
        <x:v>0.053055000000000005</x:v>
      </x:c>
      <x:c r="K10" s="63" t="n">
        <x:f>MIN(20%,('Исходные данные'!K46+'Исходные данные'!K47+'Исходные данные'!K48)*'Исходные данные'!$I$13)</x:f>
        <x:v>0.056565000000000004</x:v>
      </x:c>
      <x:c r="L10" s="63" t="n">
        <x:f>MIN(20%,('Исходные данные'!L46+'Исходные данные'!L47+'Исходные данные'!L48)*'Исходные данные'!$I$13)</x:f>
        <x:v>0.058725</x:v>
      </x:c>
      <x:c r="M10" s="63" t="n">
        <x:f>MIN(20%,('Исходные данные'!M46+'Исходные данные'!M47+'Исходные данные'!M48)*'Исходные данные'!$I$13)</x:f>
        <x:v>0.060884999999999995</x:v>
      </x:c>
      <x:c r="O10" s="16" t="str">
        <x:v>Рентабельность</x:v>
      </x:c>
      <x:c r="P10" s="40" t="n">
        <x:f>IFERROR(P9/P7,0)</x:f>
        <x:v>-16.092658772632635</x:v>
      </x:c>
      <x:c r="Q10" s="40" t="n">
        <x:f>IFERROR(Q9/Q7,0)</x:f>
        <x:v>-3.7860637015250003</x:v>
      </x:c>
      <x:c r="R10" s="40" t="n">
        <x:f>IFERROR(R9/R7,0)</x:f>
        <x:v>-0.049472727150056496</x:v>
      </x:c>
    </x:row>
    <x:row r="11">
      <x:c r="A11" s="45" t="str">
        <x:v>New paying gross</x:v>
      </x:c>
      <x:c r="B11" s="62" t="n">
        <x:f>ROUND(B9*B10,0)</x:f>
        <x:v>7</x:v>
      </x:c>
      <x:c r="C11" s="62" t="n">
        <x:f>ROUND(C9*C10,0)</x:f>
        <x:v>17</x:v>
      </x:c>
      <x:c r="D11" s="62" t="n">
        <x:f>ROUND(D9*D10,0)</x:f>
        <x:v>40</x:v>
      </x:c>
      <x:c r="E11" s="62" t="n">
        <x:f>ROUND(E9*E10,0)</x:f>
        <x:v>76</x:v>
      </x:c>
      <x:c r="F11" s="62" t="n">
        <x:f>ROUND(F9*F10,0)</x:f>
        <x:v>154</x:v>
      </x:c>
      <x:c r="G11" s="62" t="n">
        <x:f>ROUND(G9*G10,0)</x:f>
        <x:v>297</x:v>
      </x:c>
      <x:c r="H11" s="62" t="n">
        <x:f>ROUND(H9*H10,0)</x:f>
        <x:v>496</x:v>
      </x:c>
      <x:c r="I11" s="62" t="n">
        <x:f>ROUND(I9*I10,0)</x:f>
        <x:v>816</x:v>
      </x:c>
      <x:c r="J11" s="62" t="n">
        <x:f>ROUND(J9*J10,0)</x:f>
        <x:v>1178</x:v>
      </x:c>
      <x:c r="K11" s="62" t="n">
        <x:f>ROUND(K9*K10,0)</x:f>
        <x:v>1719</x:v>
      </x:c>
      <x:c r="L11" s="62" t="n">
        <x:f>ROUND(L9*L10,0)</x:f>
        <x:v>2226</x:v>
      </x:c>
      <x:c r="M11" s="62" t="n">
        <x:f>ROUND(M9*M10,0)</x:f>
        <x:v>2807</x:v>
      </x:c>
      <x:c r="O11" s="16" t="str">
        <x:v>Мин. cash gap</x:v>
      </x:c>
      <x:c r="P11" s="26" t="n">
        <x:f>MIN(C23:D23)</x:f>
        <x:v>-330046.580646292</x:v>
      </x:c>
      <x:c r="Q11" s="26" t="n">
        <x:f>MIN(D23:G23)</x:f>
        <x:v>-895819.432483752</x:v>
      </x:c>
      <x:c r="R11" s="26" t="n">
        <x:f>MIN(B23:M23)</x:f>
        <x:v>-1255741.1902629558</x:v>
      </x:c>
    </x:row>
    <x:row r="12">
      <x:c r="A12" s="45" t="str">
        <x:v>Blended churn</x:v>
      </x:c>
      <x:c r="B12" s="63" t="n">
        <x:f>MIN(35%,AVERAGE('Исходные данные'!B51:B53)*'Исходные данные'!$I$14)</x:f>
        <x:v>0.11</x:v>
      </x:c>
      <x:c r="C12" s="63" t="n">
        <x:f>MIN(35%,AVERAGE('Исходные данные'!C51:C53)*'Исходные данные'!$I$14)</x:f>
        <x:v>0.10250000000000001</x:v>
      </x:c>
      <x:c r="D12" s="63" t="n">
        <x:f>MIN(35%,AVERAGE('Исходные данные'!D51:D53)*'Исходные данные'!$I$14)</x:f>
        <x:v>0.095</x:v>
      </x:c>
      <x:c r="E12" s="63" t="n">
        <x:f>MIN(35%,AVERAGE('Исходные данные'!E51:E53)*'Исходные данные'!$I$14)</x:f>
        <x:v>0.0925</x:v>
      </x:c>
      <x:c r="F12" s="63" t="n">
        <x:f>MIN(35%,AVERAGE('Исходные данные'!F51:F53)*'Исходные данные'!$I$14)</x:f>
        <x:v>0.08499999999999999</x:v>
      </x:c>
      <x:c r="G12" s="63" t="n">
        <x:f>MIN(35%,AVERAGE('Исходные данные'!G51:G53)*'Исходные данные'!$I$14)</x:f>
        <x:v>0.0775</x:v>
      </x:c>
      <x:c r="H12" s="63" t="n">
        <x:f>MIN(35%,AVERAGE('Исходные данные'!H51:H53)*'Исходные данные'!$I$14)</x:f>
        <x:v>0.075</x:v>
      </x:c>
      <x:c r="I12" s="63" t="n">
        <x:f>MIN(35%,AVERAGE('Исходные данные'!I51:I53)*'Исходные данные'!$I$14)</x:f>
        <x:v>0.07</x:v>
      </x:c>
      <x:c r="J12" s="63" t="n">
        <x:f>MIN(35%,AVERAGE('Исходные данные'!J51:J53)*'Исходные данные'!$I$14)</x:f>
        <x:v>0.0675</x:v>
      </x:c>
      <x:c r="K12" s="63" t="n">
        <x:f>MIN(35%,AVERAGE('Исходные данные'!K51:K53)*'Исходные данные'!$I$14)</x:f>
        <x:v>0.0675</x:v>
      </x:c>
      <x:c r="L12" s="63" t="n">
        <x:f>MIN(35%,AVERAGE('Исходные данные'!L51:L53)*'Исходные данные'!$I$14)</x:f>
        <x:v>0.06</x:v>
      </x:c>
      <x:c r="M12" s="63" t="n">
        <x:f>MIN(35%,AVERAGE('Исходные данные'!M51:M53)*'Исходные данные'!$I$14)</x:f>
        <x:v>0.06</x:v>
      </x:c>
      <x:c r="O12" s="16" t="str">
        <x:v>Вывод</x:v>
      </x:c>
      <x:c r="P12" s="16" t="str">
        <x:f>IF(P9&gt;0,"положительная динамика","требуется доработка воронки")</x:f>
        <x:v>требуется доработка воронки</x:v>
      </x:c>
      <x:c r="Q12" s="16" t="str">
        <x:f>IF(Q9&gt;0,"можно масштабировать","нужны ручные продажи и retention")</x:f>
        <x:v>нужны ручные продажи и retention</x:v>
      </x:c>
      <x:c r="R12" s="16" t="str">
        <x:f>IF(R9&gt;0,"инвест-привлекательно","нужен грант/финансирование для разгона")</x:f>
        <x:v>нужен грант/финансирование для разгона</x:v>
      </x:c>
    </x:row>
    <x:row r="13">
      <x:c r="A13" s="45" t="str">
        <x:v>Paying clients EOM</x:v>
      </x:c>
      <x:c r="B13" s="62" t="n">
        <x:f>B11</x:f>
        <x:v>7</x:v>
      </x:c>
      <x:c r="C13" s="62" t="n">
        <x:f>ROUND(B13*(1-C12)+C11,0)</x:f>
        <x:v>23</x:v>
      </x:c>
      <x:c r="D13" s="62" t="n">
        <x:f>ROUND(C13*(1-D12)+D11,0)</x:f>
        <x:v>61</x:v>
      </x:c>
      <x:c r="E13" s="62" t="n">
        <x:f>ROUND(D13*(1-E12)+E11,0)</x:f>
        <x:v>131</x:v>
      </x:c>
      <x:c r="F13" s="62" t="n">
        <x:f>ROUND(E13*(1-F12)+F11,0)</x:f>
        <x:v>274</x:v>
      </x:c>
      <x:c r="G13" s="62" t="n">
        <x:f>ROUND(F13*(1-G12)+G11,0)</x:f>
        <x:v>550</x:v>
      </x:c>
      <x:c r="H13" s="62" t="n">
        <x:f>ROUND(G13*(1-H12)+H11,0)</x:f>
        <x:v>1005</x:v>
      </x:c>
      <x:c r="I13" s="62" t="n">
        <x:f>ROUND(H13*(1-I12)+I11,0)</x:f>
        <x:v>1751</x:v>
      </x:c>
      <x:c r="J13" s="62" t="n">
        <x:f>ROUND(I13*(1-J12)+J11,0)</x:f>
        <x:v>2811</x:v>
      </x:c>
      <x:c r="K13" s="62" t="n">
        <x:f>ROUND(J13*(1-K12)+K11,0)</x:f>
        <x:v>4340</x:v>
      </x:c>
      <x:c r="L13" s="62" t="n">
        <x:f>ROUND(K13*(1-L12)+L11,0)</x:f>
        <x:v>6306</x:v>
      </x:c>
      <x:c r="M13" s="62" t="n">
        <x:f>ROUND(L13*(1-M12)+M11,0)</x:f>
        <x:v>8735</x:v>
      </x:c>
    </x:row>
    <x:row r="14">
      <x:c r="A14" s="45" t="str">
        <x:v>ARPU</x:v>
      </x:c>
      <x:c r="B14" s="54" t="n">
        <x:f>(('Исходные данные'!$H$6*45%)+('Исходные данные'!$H$7*45%)+('Исходные данные'!$H$8*10%))*(1+'Исходные данные'!$B$26)*'Исходные данные'!$I$16</x:f>
        <x:v>182.46537343125001</x:v>
      </x:c>
      <x:c r="C14" s="54" t="n">
        <x:f>(('Исходные данные'!$H$6*45%)+('Исходные данные'!$H$7*45%)+('Исходные данные'!$H$8*10%))*(1+'Исходные данные'!$B$26)*'Исходные данные'!$I$16</x:f>
        <x:v>182.46537343125001</x:v>
      </x:c>
      <x:c r="D14" s="54" t="n">
        <x:f>(('Исходные данные'!$H$6*45%)+('Исходные данные'!$H$7*45%)+('Исходные данные'!$H$8*10%))*(1+'Исходные данные'!$B$26)*'Исходные данные'!$I$16</x:f>
        <x:v>182.46537343125001</x:v>
      </x:c>
      <x:c r="E14" s="54" t="n">
        <x:f>(('Исходные данные'!$H$6*45%)+('Исходные данные'!$H$7*45%)+('Исходные данные'!$H$8*10%))*(1+'Исходные данные'!$B$26)*'Исходные данные'!$I$16</x:f>
        <x:v>182.46537343125001</x:v>
      </x:c>
      <x:c r="F14" s="54" t="n">
        <x:f>(('Исходные данные'!$H$6*45%)+('Исходные данные'!$H$7*45%)+('Исходные данные'!$H$8*10%))*(1+'Исходные данные'!$B$26)*'Исходные данные'!$I$16</x:f>
        <x:v>182.46537343125001</x:v>
      </x:c>
      <x:c r="G14" s="54" t="n">
        <x:f>(('Исходные данные'!$H$6*45%)+('Исходные данные'!$H$7*45%)+('Исходные данные'!$H$8*10%))*(1+'Исходные данные'!$B$26)*'Исходные данные'!$I$16</x:f>
        <x:v>182.46537343125001</x:v>
      </x:c>
      <x:c r="H14" s="54" t="n">
        <x:f>(('Исходные данные'!$H$6*45%)+('Исходные данные'!$H$7*45%)+('Исходные данные'!$H$8*10%))*(1+'Исходные данные'!$B$26)*'Исходные данные'!$I$16</x:f>
        <x:v>182.46537343125001</x:v>
      </x:c>
      <x:c r="I14" s="54" t="n">
        <x:f>(('Исходные данные'!$H$6*45%)+('Исходные данные'!$H$7*45%)+('Исходные данные'!$H$8*10%))*(1+'Исходные данные'!$B$26)*'Исходные данные'!$I$16</x:f>
        <x:v>182.46537343125001</x:v>
      </x:c>
      <x:c r="J14" s="54" t="n">
        <x:f>(('Исходные данные'!$H$6*45%)+('Исходные данные'!$H$7*45%)+('Исходные данные'!$H$8*10%))*(1+'Исходные данные'!$B$26)*'Исходные данные'!$I$16</x:f>
        <x:v>182.46537343125001</x:v>
      </x:c>
      <x:c r="K14" s="54" t="n">
        <x:f>(('Исходные данные'!$H$6*45%)+('Исходные данные'!$H$7*45%)+('Исходные данные'!$H$8*10%))*(1+'Исходные данные'!$B$26)*'Исходные данные'!$I$16</x:f>
        <x:v>182.46537343125001</x:v>
      </x:c>
      <x:c r="L14" s="54" t="n">
        <x:f>(('Исходные данные'!$H$6*45%)+('Исходные данные'!$H$7*45%)+('Исходные данные'!$H$8*10%))*(1+'Исходные данные'!$B$26)*'Исходные данные'!$I$16</x:f>
        <x:v>182.46537343125001</x:v>
      </x:c>
      <x:c r="M14" s="54" t="n">
        <x:f>(('Исходные данные'!$H$6*45%)+('Исходные данные'!$H$7*45%)+('Исходные данные'!$H$8*10%))*(1+'Исходные данные'!$B$26)*'Исходные данные'!$I$16</x:f>
        <x:v>182.46537343125001</x:v>
      </x:c>
    </x:row>
    <x:row r="15">
      <x:c r="A15" s="45" t="str">
        <x:v>Revenue</x:v>
      </x:c>
      <x:c r="B15" s="54" t="n">
        <x:f>B13*B14</x:f>
        <x:v>1277.25761401875</x:v>
      </x:c>
      <x:c r="C15" s="54" t="n">
        <x:f>C13*C14</x:f>
        <x:v>4196.70358891875</x:v>
      </x:c>
      <x:c r="D15" s="54" t="n">
        <x:f>D13*D14</x:f>
        <x:v>11130.387779306251</x:v>
      </x:c>
      <x:c r="E15" s="54" t="n">
        <x:f>E13*E14</x:f>
        <x:v>23902.96391949375</x:v>
      </x:c>
      <x:c r="F15" s="54" t="n">
        <x:f>F13*F14</x:f>
        <x:v>49995.5123201625</x:v>
      </x:c>
      <x:c r="G15" s="54" t="n">
        <x:f>G13*G14</x:f>
        <x:v>100355.95538718751</x:v>
      </x:c>
      <x:c r="H15" s="54" t="n">
        <x:f>H13*H14</x:f>
        <x:v>183377.70029840627</x:v>
      </x:c>
      <x:c r="I15" s="54" t="n">
        <x:f>I13*I14</x:f>
        <x:v>319496.86887811875</x:v>
      </x:c>
      <x:c r="J15" s="54" t="n">
        <x:f>J13*J14</x:f>
        <x:v>512910.1647152438</x:v>
      </x:c>
      <x:c r="K15" s="54" t="n">
        <x:f>K13*K14</x:f>
        <x:v>791899.720691625</x:v>
      </x:c>
      <x:c r="L15" s="54" t="n">
        <x:f>L13*L14</x:f>
        <x:v>1150626.6448574625</x:v>
      </x:c>
      <x:c r="M15" s="54" t="n">
        <x:f>M13*M14</x:f>
        <x:v>1593835.036921969</x:v>
      </x:c>
    </x:row>
    <x:row r="16">
      <x:c r="A16" s="45" t="str">
        <x:v>Variable costs</x:v>
      </x:c>
      <x:c r="B16" s="54" t="n">
        <x:f>(B13*((45%*'Исходные данные'!$I$6+45%*'Исходные данные'!$I$7+10%*'Исходные данные'!$I$8)*'Исходные данные'!$B$14+'Исходные данные'!$B$19+'Исходные данные'!$B$20))+B15*'Исходные данные'!$B$25</x:f>
        <x:v>301.051437661625</x:v>
      </x:c>
      <x:c r="C16" s="54" t="n">
        <x:f>(C13*((45%*'Исходные данные'!$I$6+45%*'Исходные данные'!$I$7+10%*'Исходные данные'!$I$8)*'Исходные данные'!$B$14+'Исходные данные'!$B$19+'Исходные данные'!$B$20))+C15*'Исходные данные'!$B$25</x:f>
        <x:v>989.169009459625</x:v>
      </x:c>
      <x:c r="D16" s="54" t="n">
        <x:f>(D13*((45%*'Исходные данные'!$I$6+45%*'Исходные данные'!$I$7+10%*'Исходные данные'!$I$8)*'Исходные данные'!$B$14+'Исходные данные'!$B$19+'Исходные данные'!$B$20))+D15*'Исходные данные'!$B$25</x:f>
        <x:v>2623.4482424798753</x:v>
      </x:c>
      <x:c r="E16" s="54" t="n">
        <x:f>(E13*((45%*'Исходные данные'!$I$6+45%*'Исходные данные'!$I$7+10%*'Исходные данные'!$I$8)*'Исходные данные'!$B$14+'Исходные данные'!$B$19+'Исходные данные'!$B$20))+E15*'Исходные данные'!$B$25</x:f>
        <x:v>5633.962619096124</x:v>
      </x:c>
      <x:c r="F16" s="54" t="n">
        <x:f>(F13*((45%*'Исходные данные'!$I$6+45%*'Исходные данные'!$I$7+10%*'Исходные данные'!$I$8)*'Исходные данные'!$B$14+'Исходные данные'!$B$19+'Исходные данные'!$B$20))+F15*'Исходные данные'!$B$25</x:f>
        <x:v>11784.01341704075</x:v>
      </x:c>
      <x:c r="G16" s="54" t="n">
        <x:f>(G13*((45%*'Исходные данные'!$I$6+45%*'Исходные данные'!$I$7+10%*'Исходные данные'!$I$8)*'Исходные данные'!$B$14+'Исходные данные'!$B$19+'Исходные данные'!$B$20))+G15*'Исходные данные'!$B$25</x:f>
        <x:v>23654.041530556253</x:v>
      </x:c>
      <x:c r="H16" s="54" t="n">
        <x:f>(H13*((45%*'Исходные данные'!$I$6+45%*'Исходные данные'!$I$7+10%*'Исходные данные'!$I$8)*'Исходные данные'!$B$14+'Исходные данные'!$B$19+'Исходные данные'!$B$20))+H15*'Исходные данные'!$B$25</x:f>
        <x:v>43222.38497856187</x:v>
      </x:c>
      <x:c r="I16" s="54" t="n">
        <x:f>(I13*((45%*'Исходные данные'!$I$6+45%*'Исходные данные'!$I$7+10%*'Исходные данные'!$I$8)*'Исходные данные'!$B$14+'Исходные данные'!$B$19+'Исходные данные'!$B$20))+I15*'Исходные данные'!$B$25</x:f>
        <x:v>75305.86676364363</x:v>
      </x:c>
      <x:c r="J16" s="54" t="n">
        <x:f>(J13*((45%*'Исходные данные'!$I$6+45%*'Исходные данные'!$I$7+10%*'Исходные данные'!$I$8)*'Исходные данные'!$B$14+'Исходные данные'!$B$19+'Исходные данные'!$B$20))+J15*'Исходные данные'!$B$25</x:f>
        <x:v>120893.65589526112</x:v>
      </x:c>
      <x:c r="K16" s="54" t="n">
        <x:f>(K13*((45%*'Исходные данные'!$I$6+45%*'Исходные данные'!$I$7+10%*'Исходные данные'!$I$8)*'Исходные данные'!$B$14+'Исходные данные'!$B$19+'Исходные данные'!$B$20))+K15*'Исходные данные'!$B$25</x:f>
        <x:v>186651.8913502075</x:v>
      </x:c>
      <x:c r="L16" s="54" t="n">
        <x:f>(L13*((45%*'Исходные данные'!$I$6+45%*'Исходные данные'!$I$7+10%*'Исходные данные'!$I$8)*'Исходные данные'!$B$14+'Исходные данные'!$B$19+'Исходные данные'!$B$20))+L15*'Исходные данные'!$B$25</x:f>
        <x:v>271204.3379848868</x:v>
      </x:c>
      <x:c r="M16" s="54" t="n">
        <x:f>(M13*((45%*'Исходные данные'!$I$6+45%*'Исходные данные'!$I$7+10%*'Исходные данные'!$I$8)*'Исходные данные'!$B$14+'Исходные данные'!$B$19+'Исходные данные'!$B$20))+M15*'Исходные данные'!$B$25</x:f>
        <x:v>375669.18685347063</x:v>
      </x:c>
    </x:row>
    <x:row r="17">
      <x:c r="A17" s="45" t="str">
        <x:v>Fixed + marketing costs</x:v>
      </x:c>
      <x:c r="B17" s="54" t="n">
        <x:f>'Исходные данные'!B54*'Исходные данные'!$I$15+('Исходные данные'!B55+'Исходные данные'!B56+'Исходные данные'!B57+'Исходные данные'!$B$21+'Исходные данные'!$B$23*'Исходные данные'!B58+'Исходные данные'!$B$22*'Исходные данные'!B59)*'Исходные данные'!$I$17</x:f>
        <x:v>84292.5</x:v>
      </x:c>
      <x:c r="C17" s="54" t="n">
        <x:f>'Исходные данные'!C54*'Исходные данные'!$I$15+('Исходные данные'!C55+'Исходные данные'!C56+'Исходные данные'!C57+'Исходные данные'!$B$21+'Исходные данные'!$B$23*'Исходные данные'!C58+'Исходные данные'!$B$22*'Исходные данные'!C59)*'Исходные данные'!$I$17</x:f>
        <x:v>113503.5</x:v>
      </x:c>
      <x:c r="D17" s="54" t="n">
        <x:f>'Исходные данные'!D54*'Исходные данные'!$I$15+('Исходные данные'!D55+'Исходные данные'!D56+'Исходные данные'!D57+'Исходные данные'!$B$21+'Исходные данные'!$B$23*'Исходные данные'!D58+'Исходные данные'!$B$22*'Исходные данные'!D59)*'Исходные данные'!$I$17</x:f>
        <x:v>143945</x:v>
      </x:c>
      <x:c r="E17" s="54" t="n">
        <x:f>'Исходные данные'!E54*'Исходные данные'!$I$15+('Исходные данные'!E55+'Исходные данные'!E56+'Исходные данные'!E57+'Исходные данные'!$B$21+'Исходные данные'!$B$23*'Исходные данные'!E58+'Исходные данные'!$B$22*'Исходные данные'!E59)*'Исходные данные'!$I$17</x:f>
        <x:v>187872.5</x:v>
      </x:c>
      <x:c r="F17" s="54" t="n">
        <x:f>'Исходные данные'!F54*'Исходные данные'!$I$15+('Исходные данные'!F55+'Исходные данные'!F56+'Исходные данные'!F57+'Исходные данные'!$B$21+'Исходные данные'!$B$23*'Исходные данные'!F58+'Исходные данные'!$B$22*'Исходные данные'!F59)*'Исходные данные'!$I$17</x:f>
        <x:v>227774.99999999997</x:v>
      </x:c>
      <x:c r="G17" s="54" t="n">
        <x:f>'Исходные данные'!G54*'Исходные данные'!$I$15+('Исходные данные'!G55+'Исходные данные'!G56+'Исходные данные'!G57+'Исходные данные'!$B$21+'Исходные данные'!$B$23*'Исходные данные'!G58+'Исходные данные'!$B$22*'Исходные данные'!G59)*'Исходные данные'!$I$17</x:f>
        <x:v>272852.5</x:v>
      </x:c>
      <x:c r="H17" s="54" t="n">
        <x:f>'Исходные данные'!H54*'Исходные данные'!$I$15+('Исходные данные'!H55+'Исходные данные'!H56+'Исходные данные'!H57+'Исходные данные'!$B$21+'Исходные данные'!$B$23*'Исходные данные'!H58+'Исходные данные'!$B$22*'Исходные данные'!H59)*'Исходные данные'!$I$17</x:f>
        <x:v>314882.5</x:v>
      </x:c>
      <x:c r="I17" s="54" t="n">
        <x:f>'Исходные данные'!I54*'Исходные данные'!$I$15+('Исходные данные'!I55+'Исходные данные'!I56+'Исходные данные'!I57+'Исходные данные'!$B$21+'Исходные данные'!$B$23*'Исходные данные'!I58+'Исходные данные'!$B$22*'Исходные данные'!I59)*'Исходные данные'!$I$17</x:f>
        <x:v>359212.5</x:v>
      </x:c>
      <x:c r="J17" s="54" t="n">
        <x:f>'Исходные данные'!J54*'Исходные данные'!$I$15+('Исходные данные'!J55+'Исходные данные'!J56+'Исходные данные'!J57+'Исходные данные'!$B$21+'Исходные данные'!$B$23*'Исходные данные'!J58+'Исходные данные'!$B$22*'Исходные данные'!J59)*'Исходные данные'!$I$17</x:f>
        <x:v>401242.5</x:v>
      </x:c>
      <x:c r="K17" s="54" t="n">
        <x:f>'Исходные данные'!K54*'Исходные данные'!$I$15+('Исходные данные'!K55+'Исходные данные'!K56+'Исходные данные'!K57+'Исходные данные'!$B$21+'Исходные данные'!$B$23*'Исходные данные'!K58+'Исходные данные'!$B$22*'Исходные данные'!K59)*'Исходные данные'!$I$17</x:f>
        <x:v>440972.5</x:v>
      </x:c>
      <x:c r="L17" s="54" t="n">
        <x:f>'Исходные данные'!L54*'Исходные данные'!$I$15+('Исходные данные'!L55+'Исходные данные'!L56+'Исходные данные'!L57+'Исходные данные'!$B$21+'Исходные данные'!$B$23*'Исходные данные'!L58+'Исходные данные'!$B$22*'Исходные данные'!L59)*'Исходные данные'!$I$17</x:f>
        <x:v>483002.5</x:v>
      </x:c>
      <x:c r="M17" s="54" t="n">
        <x:f>'Исходные данные'!M54*'Исходные данные'!$I$15+('Исходные данные'!M55+'Исходные данные'!M56+'Исходные данные'!M57+'Исходные данные'!$B$21+'Исходные данные'!$B$23*'Исходные данные'!M58+'Исходные данные'!$B$22*'Исходные данные'!M59)*'Исходные данные'!$I$17</x:f>
        <x:v>545587.5</x:v>
      </x:c>
    </x:row>
    <x:row r="18">
      <x:c r="A18" s="45" t="str">
        <x:v>Taxes</x:v>
      </x:c>
      <x:c r="B18" s="54" t="n">
        <x:f>B15*'Исходные данные'!$B$24</x:f>
        <x:v>76.63545684112499</x:v>
      </x:c>
      <x:c r="C18" s="54" t="n">
        <x:f>C15*'Исходные данные'!$B$24</x:f>
        <x:v>251.802215335125</x:v>
      </x:c>
      <x:c r="D18" s="54" t="n">
        <x:f>D15*'Исходные данные'!$B$24</x:f>
        <x:v>667.8232667583751</x:v>
      </x:c>
      <x:c r="E18" s="54" t="n">
        <x:f>E15*'Исходные данные'!$B$24</x:f>
        <x:v>1434.177835169625</x:v>
      </x:c>
      <x:c r="F18" s="54" t="n">
        <x:f>F15*'Исходные данные'!$B$24</x:f>
        <x:v>2999.73073920975</x:v>
      </x:c>
      <x:c r="G18" s="54" t="n">
        <x:f>G15*'Исходные данные'!$B$24</x:f>
        <x:v>6021.35732323125</x:v>
      </x:c>
      <x:c r="H18" s="54" t="n">
        <x:f>H15*'Исходные данные'!$B$24</x:f>
        <x:v>11002.662017904377</x:v>
      </x:c>
      <x:c r="I18" s="54" t="n">
        <x:f>I15*'Исходные данные'!$B$24</x:f>
        <x:v>19169.812132687126</x:v>
      </x:c>
      <x:c r="J18" s="54" t="n">
        <x:f>J15*'Исходные данные'!$B$24</x:f>
        <x:v>30774.609882914625</x:v>
      </x:c>
      <x:c r="K18" s="54" t="n">
        <x:f>K15*'Исходные данные'!$B$24</x:f>
        <x:v>47513.9832414975</x:v>
      </x:c>
      <x:c r="L18" s="54" t="n">
        <x:f>L15*'Исходные данные'!$B$24</x:f>
        <x:v>69037.59869144775</x:v>
      </x:c>
      <x:c r="M18" s="54" t="n">
        <x:f>M15*'Исходные данные'!$B$24</x:f>
        <x:v>95630.10221531813</x:v>
      </x:c>
    </x:row>
    <x:row r="19">
      <x:c r="A19" s="45" t="str">
        <x:v>Total Expenses</x:v>
      </x:c>
      <x:c r="B19" s="54" t="n">
        <x:f>B16+B17+B18</x:f>
        <x:v>84670.18689450274</x:v>
      </x:c>
      <x:c r="C19" s="54" t="n">
        <x:f>C16+C17+C18</x:f>
        <x:v>114744.47122479475</x:v>
      </x:c>
      <x:c r="D19" s="54" t="n">
        <x:f>D16+D17+D18</x:f>
        <x:v>147236.27150923826</x:v>
      </x:c>
      <x:c r="E19" s="54" t="n">
        <x:f>E16+E17+E18</x:f>
        <x:v>194940.64045426575</x:v>
      </x:c>
      <x:c r="F19" s="54" t="n">
        <x:f>F16+F17+F18</x:f>
        <x:v>242558.74415625047</x:v>
      </x:c>
      <x:c r="G19" s="54" t="n">
        <x:f>G16+G17+G18</x:f>
        <x:v>302527.8988537875</x:v>
      </x:c>
      <x:c r="H19" s="54" t="n">
        <x:f>H16+H17+H18</x:f>
        <x:v>369107.5469964663</x:v>
      </x:c>
      <x:c r="I19" s="54" t="n">
        <x:f>I16+I17+I18</x:f>
        <x:v>453688.17889633076</x:v>
      </x:c>
      <x:c r="J19" s="54" t="n">
        <x:f>J16+J17+J18</x:f>
        <x:v>552910.7657781757</x:v>
      </x:c>
      <x:c r="K19" s="54" t="n">
        <x:f>K16+K17+K18</x:f>
        <x:v>675138.374591705</x:v>
      </x:c>
      <x:c r="L19" s="54" t="n">
        <x:f>L16+L17+L18</x:f>
        <x:v>823244.4366763345</x:v>
      </x:c>
      <x:c r="M19" s="54" t="n">
        <x:f>M16+M17+M18</x:f>
        <x:v>1016886.7890687888</x:v>
      </x:c>
    </x:row>
    <x:row r="20">
      <x:c r="A20" s="45" t="str">
        <x:v>Net Profit</x:v>
      </x:c>
      <x:c r="B20" s="54" t="n">
        <x:f>B15-B19</x:f>
        <x:v>-83392.929280484</x:v>
      </x:c>
      <x:c r="C20" s="54" t="n">
        <x:f>C15-C19</x:f>
        <x:v>-110547.76763587599</x:v>
      </x:c>
      <x:c r="D20" s="54" t="n">
        <x:f>D15-D19</x:f>
        <x:v>-136105.88372993201</x:v>
      </x:c>
      <x:c r="E20" s="54" t="n">
        <x:f>E15-E19</x:f>
        <x:v>-171037.676534772</x:v>
      </x:c>
      <x:c r="F20" s="54" t="n">
        <x:f>F15-F19</x:f>
        <x:v>-192563.23183608797</x:v>
      </x:c>
      <x:c r="G20" s="54" t="n">
        <x:f>G15-G19</x:f>
        <x:v>-202171.9434666</x:v>
      </x:c>
      <x:c r="H20" s="54" t="n">
        <x:f>H15-H19</x:f>
        <x:v>-185729.84669806002</x:v>
      </x:c>
      <x:c r="I20" s="54" t="n">
        <x:f>I15-I19</x:f>
        <x:v>-134191.310018212</x:v>
      </x:c>
      <x:c r="J20" s="54" t="n">
        <x:f>J15-J19</x:f>
        <x:v>-40000.60106293188</x:v>
      </x:c>
      <x:c r="K20" s="54" t="n">
        <x:f>K15-K19</x:f>
        <x:v>116761.34609991999</x:v>
      </x:c>
      <x:c r="L20" s="54" t="n">
        <x:f>L15-L19</x:f>
        <x:v>327382.208181128</x:v>
      </x:c>
      <x:c r="M20" s="54" t="n">
        <x:f>M15-M19</x:f>
        <x:v>576948.2478531802</x:v>
      </x:c>
    </x:row>
    <x:row r="21">
      <x:c r="A21" s="45" t="str">
        <x:v>Profitability</x:v>
      </x:c>
      <x:c r="B21" s="63" t="n">
        <x:f>IFERROR(B20/B15,0)</x:f>
        <x:v>-65.2906104181265</x:v>
      </x:c>
      <x:c r="C21" s="63" t="n">
        <x:f>IFERROR(C20/C15,0)</x:f>
        <x:v>-26.34157149620324</x:v>
      </x:c>
      <x:c r="D21" s="63" t="n">
        <x:f>IFERROR(D20/D15,0)</x:f>
        <x:v>-12.228314630958472</x:v>
      </x:c>
      <x:c r="E21" s="63" t="n">
        <x:f>IFERROR(E20/E15,0)</x:f>
        <x:v>-7.155500761781448</x:v>
      </x:c>
      <x:c r="F21" s="63" t="n">
        <x:f>IFERROR(F20/F15,0)</x:f>
        <x:v>-3.8516103326023896</x:v>
      </x:c>
      <x:c r="G21" s="63" t="n">
        <x:f>IFERROR(G20/G15,0)</x:f>
        <x:v>-2.0145485406081978</x:v>
      </x:c>
      <x:c r="H21" s="63" t="n">
        <x:f>IFERROR(H20/H15,0)</x:f>
        <x:v>-1.0128267853497244</x:v>
      </x:c>
      <x:c r="I21" s="63" t="n">
        <x:f>IFERROR(I20/I15,0)</x:f>
        <x:v>-0.42000821632278074</x:v>
      </x:c>
      <x:c r="J21" s="63" t="n">
        <x:f>IFERROR(J20/J15,0)</x:f>
        <x:v>-0.07798753819811567</x:v>
      </x:c>
      <x:c r="K21" s="63" t="n">
        <x:f>IFERROR(K20/K15,0)</x:f>
        <x:v>0.14744461078726434</x:v>
      </x:c>
      <x:c r="L21" s="63" t="n">
        <x:f>IFERROR(L20/L15,0)</x:f>
        <x:v>0.2845251408389587</x:v>
      </x:c>
      <x:c r="M21" s="63" t="n">
        <x:f>IFERROR(M20/M15,0)</x:f>
        <x:v>0.3619874293687186</x:v>
      </x:c>
    </x:row>
    <x:row r="22">
      <x:c r="A22" s="45" t="str">
        <x:v>Cumulative Profit</x:v>
      </x:c>
      <x:c r="B22" s="54" t="n">
        <x:f>B20</x:f>
        <x:v>-83392.929280484</x:v>
      </x:c>
      <x:c r="C22" s="54" t="n">
        <x:f>B22+C20</x:f>
        <x:v>-193940.69691636</x:v>
      </x:c>
      <x:c r="D22" s="54" t="n">
        <x:f>C22+D20</x:f>
        <x:v>-330046.580646292</x:v>
      </x:c>
      <x:c r="E22" s="54" t="n">
        <x:f>D22+E20</x:f>
        <x:v>-501084.257181064</x:v>
      </x:c>
      <x:c r="F22" s="54" t="n">
        <x:f>E22+F20</x:f>
        <x:v>-693647.489017152</x:v>
      </x:c>
      <x:c r="G22" s="54" t="n">
        <x:f>F22+G20</x:f>
        <x:v>-895819.432483752</x:v>
      </x:c>
      <x:c r="H22" s="54" t="n">
        <x:f>G22+H20</x:f>
        <x:v>-1081549.279181812</x:v>
      </x:c>
      <x:c r="I22" s="54" t="n">
        <x:f>H22+I20</x:f>
        <x:v>-1215740.589200024</x:v>
      </x:c>
      <x:c r="J22" s="54" t="n">
        <x:f>I22+J20</x:f>
        <x:v>-1255741.1902629558</x:v>
      </x:c>
      <x:c r="K22" s="54" t="n">
        <x:f>J22+K20</x:f>
        <x:v>-1138979.844163036</x:v>
      </x:c>
      <x:c r="L22" s="54" t="n">
        <x:f>K22+L20</x:f>
        <x:v>-811597.635981908</x:v>
      </x:c>
      <x:c r="M22" s="54" t="n">
        <x:f>L22+M20</x:f>
        <x:v>-234649.3881287278</x:v>
      </x:c>
    </x:row>
    <x:row r="23">
      <x:c r="A23" s="45" t="str">
        <x:v>Cash need / min cumulative</x:v>
      </x:c>
      <x:c r="B23" s="54" t="n">
        <x:f>MIN(0,MIN($B$22:B22))</x:f>
        <x:v>-83392.929280484</x:v>
      </x:c>
      <x:c r="C23" s="54" t="n">
        <x:f>MIN(0,MIN($B$22:C22))</x:f>
        <x:v>-193940.69691636</x:v>
      </x:c>
      <x:c r="D23" s="54" t="n">
        <x:f>MIN(0,MIN($B$22:D22))</x:f>
        <x:v>-330046.580646292</x:v>
      </x:c>
      <x:c r="E23" s="54" t="n">
        <x:f>MIN(0,MIN($B$22:E22))</x:f>
        <x:v>-501084.257181064</x:v>
      </x:c>
      <x:c r="F23" s="54" t="n">
        <x:f>MIN(0,MIN($B$22:F22))</x:f>
        <x:v>-693647.489017152</x:v>
      </x:c>
      <x:c r="G23" s="54" t="n">
        <x:f>MIN(0,MIN($B$22:G22))</x:f>
        <x:v>-895819.432483752</x:v>
      </x:c>
      <x:c r="H23" s="54" t="n">
        <x:f>MIN(0,MIN($B$22:H22))</x:f>
        <x:v>-1081549.279181812</x:v>
      </x:c>
      <x:c r="I23" s="54" t="n">
        <x:f>MIN(0,MIN($B$22:I22))</x:f>
        <x:v>-1215740.589200024</x:v>
      </x:c>
      <x:c r="J23" s="54" t="n">
        <x:f>MIN(0,MIN($B$22:J22))</x:f>
        <x:v>-1255741.1902629558</x:v>
      </x:c>
      <x:c r="K23" s="54" t="n">
        <x:f>MIN(0,MIN($B$22:K22))</x:f>
        <x:v>-1255741.1902629558</x:v>
      </x:c>
      <x:c r="L23" s="54" t="n">
        <x:f>MIN(0,MIN($B$22:L22))</x:f>
        <x:v>-1255741.1902629558</x:v>
      </x:c>
      <x:c r="M23" s="54" t="n">
        <x:f>MIN(0,MIN($B$22:M22))</x:f>
        <x:v>-1255741.1902629558</x:v>
      </x:c>
    </x:row>
    <x:row r="24">
      <x:c r="A24" s="42"/>
      <x:c r="B24" s="42"/>
      <x:c r="C24" s="42"/>
      <x:c r="D24" s="42"/>
      <x:c r="E24" s="42"/>
      <x:c r="F24" s="42"/>
      <x:c r="G24" s="42"/>
      <x:c r="H24" s="42"/>
      <x:c r="I24" s="42"/>
      <x:c r="J24" s="42"/>
      <x:c r="K24" s="42"/>
      <x:c r="L24" s="42"/>
      <x:c r="M24" s="42"/>
    </x:row>
    <x:row r="25">
      <x:c r="A25" s="42"/>
      <x:c r="B25" s="42"/>
      <x:c r="C25" s="42"/>
      <x:c r="D25" s="42"/>
      <x:c r="E25" s="42"/>
      <x:c r="F25" s="42"/>
      <x:c r="G25" s="42"/>
      <x:c r="H25" s="42"/>
      <x:c r="I25" s="42"/>
      <x:c r="J25" s="42"/>
      <x:c r="K25" s="42"/>
      <x:c r="L25" s="42"/>
      <x:c r="M25" s="42"/>
    </x:row>
    <x:row r="26">
      <x:c r="A26" s="42"/>
      <x:c r="B26" s="42"/>
      <x:c r="C26" s="42"/>
      <x:c r="D26" s="42"/>
      <x:c r="E26" s="42"/>
      <x:c r="F26" s="42"/>
      <x:c r="G26" s="42"/>
      <x:c r="H26" s="42"/>
      <x:c r="I26" s="42"/>
      <x:c r="J26" s="42"/>
      <x:c r="K26" s="42"/>
      <x:c r="L26" s="42"/>
      <x:c r="M26" s="42"/>
    </x:row>
    <x:row r="27">
      <x:c r="A27" s="42"/>
      <x:c r="B27" s="42"/>
      <x:c r="C27" s="42"/>
      <x:c r="D27" s="42"/>
      <x:c r="E27" s="42"/>
      <x:c r="F27" s="42"/>
      <x:c r="G27" s="42"/>
      <x:c r="H27" s="42"/>
      <x:c r="I27" s="42"/>
      <x:c r="J27" s="42"/>
      <x:c r="K27" s="42"/>
      <x:c r="L27" s="42"/>
      <x:c r="M27" s="42"/>
    </x:row>
    <x:row r="28">
      <x:c r="A28" s="42"/>
      <x:c r="B28" s="42"/>
      <x:c r="C28" s="42"/>
      <x:c r="D28" s="42"/>
      <x:c r="E28" s="42"/>
      <x:c r="F28" s="42"/>
      <x:c r="G28" s="42"/>
      <x:c r="H28" s="42"/>
      <x:c r="I28" s="42"/>
      <x:c r="J28" s="42"/>
      <x:c r="K28" s="42"/>
      <x:c r="L28" s="42"/>
      <x:c r="M28" s="42"/>
    </x:row>
    <x:row r="29">
      <x:c r="A29" s="42"/>
      <x:c r="B29" s="42"/>
      <x:c r="C29" s="42"/>
      <x:c r="D29" s="42"/>
      <x:c r="E29" s="42"/>
      <x:c r="F29" s="42"/>
      <x:c r="G29" s="42"/>
      <x:c r="H29" s="42"/>
      <x:c r="I29" s="42"/>
      <x:c r="J29" s="42"/>
      <x:c r="K29" s="42"/>
      <x:c r="L29" s="42"/>
      <x:c r="M29" s="42"/>
    </x:row>
    <x:row r="30">
      <x:c r="A30" s="42"/>
      <x:c r="B30" s="42"/>
      <x:c r="C30" s="42"/>
      <x:c r="D30" s="42"/>
      <x:c r="E30" s="42"/>
      <x:c r="F30" s="42"/>
      <x:c r="G30" s="42"/>
      <x:c r="H30" s="42"/>
      <x:c r="I30" s="42"/>
      <x:c r="J30" s="42"/>
      <x:c r="K30" s="42"/>
      <x:c r="L30" s="42"/>
      <x:c r="M30" s="42"/>
    </x:row>
    <x:row r="31">
      <x:c r="A31" s="42"/>
      <x:c r="B31" s="42"/>
      <x:c r="C31" s="42"/>
      <x:c r="D31" s="42"/>
      <x:c r="E31" s="42"/>
      <x:c r="F31" s="42"/>
      <x:c r="G31" s="42"/>
      <x:c r="H31" s="42"/>
      <x:c r="I31" s="42"/>
      <x:c r="J31" s="42"/>
      <x:c r="K31" s="42"/>
      <x:c r="L31" s="42"/>
      <x:c r="M31" s="42"/>
    </x:row>
    <x:row r="32">
      <x:c r="A32" s="42"/>
      <x:c r="B32" s="42"/>
      <x:c r="C32" s="42"/>
      <x:c r="D32" s="42"/>
      <x:c r="E32" s="42"/>
      <x:c r="F32" s="42"/>
      <x:c r="G32" s="42"/>
      <x:c r="H32" s="42"/>
      <x:c r="I32" s="42"/>
      <x:c r="J32" s="42"/>
      <x:c r="K32" s="42"/>
      <x:c r="L32" s="42"/>
      <x:c r="M32" s="42"/>
    </x:row>
    <x:row r="33">
      <x:c r="A33" s="42"/>
      <x:c r="B33" s="42"/>
      <x:c r="C33" s="42"/>
      <x:c r="D33" s="42"/>
      <x:c r="E33" s="42"/>
      <x:c r="F33" s="42"/>
      <x:c r="G33" s="42"/>
      <x:c r="H33" s="42"/>
      <x:c r="I33" s="42"/>
      <x:c r="J33" s="42"/>
      <x:c r="K33" s="42"/>
      <x:c r="L33" s="42"/>
      <x:c r="M33" s="42"/>
    </x:row>
    <x:row r="34">
      <x:c r="A34" s="42"/>
      <x:c r="B34" s="42"/>
      <x:c r="C34" s="42"/>
      <x:c r="D34" s="42"/>
      <x:c r="E34" s="42"/>
      <x:c r="F34" s="42"/>
      <x:c r="G34" s="42"/>
      <x:c r="H34" s="42"/>
      <x:c r="I34" s="42"/>
      <x:c r="J34" s="42"/>
      <x:c r="K34" s="42"/>
      <x:c r="L34" s="42"/>
      <x:c r="M34" s="42"/>
    </x:row>
    <x:row r="35">
      <x:c r="A35" s="42"/>
      <x:c r="B35" s="42"/>
      <x:c r="C35" s="42"/>
      <x:c r="D35" s="42"/>
      <x:c r="E35" s="42"/>
      <x:c r="F35" s="42"/>
      <x:c r="G35" s="42"/>
      <x:c r="H35" s="42"/>
      <x:c r="I35" s="42"/>
      <x:c r="J35" s="42"/>
      <x:c r="K35" s="42"/>
      <x:c r="L35" s="42"/>
      <x:c r="M35" s="42"/>
    </x:row>
    <x:row r="36">
      <x:c r="A36" s="42"/>
      <x:c r="B36" s="42"/>
      <x:c r="C36" s="42"/>
      <x:c r="D36" s="42"/>
      <x:c r="E36" s="42"/>
      <x:c r="F36" s="42"/>
      <x:c r="G36" s="42"/>
      <x:c r="H36" s="42"/>
      <x:c r="I36" s="42"/>
      <x:c r="J36" s="42"/>
      <x:c r="K36" s="42"/>
      <x:c r="L36" s="42"/>
      <x:c r="M36" s="42"/>
    </x:row>
    <x:row r="37">
      <x:c r="A37" s="42"/>
      <x:c r="B37" s="42"/>
      <x:c r="C37" s="42"/>
      <x:c r="D37" s="42"/>
      <x:c r="E37" s="42"/>
      <x:c r="F37" s="42"/>
      <x:c r="G37" s="42"/>
      <x:c r="H37" s="42"/>
      <x:c r="I37" s="42"/>
      <x:c r="J37" s="42"/>
      <x:c r="K37" s="42"/>
      <x:c r="L37" s="42"/>
      <x:c r="M37" s="42"/>
    </x:row>
    <x:row r="38">
      <x:c r="A38" s="42"/>
      <x:c r="B38" s="42"/>
      <x:c r="C38" s="42"/>
      <x:c r="D38" s="42"/>
      <x:c r="E38" s="42"/>
      <x:c r="F38" s="42"/>
      <x:c r="G38" s="42"/>
      <x:c r="H38" s="42"/>
      <x:c r="I38" s="42"/>
      <x:c r="J38" s="42"/>
      <x:c r="K38" s="42"/>
      <x:c r="L38" s="42"/>
      <x:c r="M38" s="42"/>
    </x:row>
    <x:row r="39">
      <x:c r="A39" s="42"/>
      <x:c r="B39" s="42"/>
      <x:c r="C39" s="42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</x:row>
    <x:row r="40">
      <x:c r="A40" s="42"/>
      <x:c r="B40" s="42"/>
      <x:c r="C40" s="42"/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</x:row>
    <x:row r="41">
      <x:c r="A41" s="42"/>
      <x:c r="B41" s="42"/>
      <x:c r="C41" s="42"/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</x:row>
    <x:row r="42">
      <x:c r="A42" s="42"/>
      <x:c r="B42" s="42"/>
      <x:c r="C42" s="42"/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</x:row>
    <x:row r="43">
      <x:c r="A43" s="42"/>
      <x:c r="B43" s="42"/>
      <x:c r="C43" s="42"/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</x:row>
    <x:row r="44">
      <x:c r="A44" s="42"/>
      <x:c r="B44" s="42"/>
      <x:c r="C44" s="42"/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</x:row>
    <x:row r="45">
      <x:c r="A45" s="42"/>
      <x:c r="B45" s="42"/>
      <x:c r="C45" s="42"/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</x:row>
    <x:row r="46">
      <x:c r="A46" s="42"/>
      <x:c r="B46" s="42"/>
      <x:c r="C46" s="42"/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</x:row>
    <x:row r="47">
      <x:c r="A47" s="42"/>
      <x:c r="B47" s="42"/>
      <x:c r="C47" s="42"/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</x:row>
    <x:row r="48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</x:row>
    <x:row r="49">
      <x:c r="A49" s="42"/>
      <x:c r="B49" s="42"/>
      <x:c r="C49" s="42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</x:row>
    <x:row r="50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</x:row>
    <x:row r="51">
      <x:c r="A51" s="42"/>
      <x:c r="B51" s="42"/>
      <x:c r="C51" s="42"/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</x:row>
    <x:row r="52">
      <x:c r="A52" s="42"/>
      <x:c r="B52" s="42"/>
      <x:c r="C52" s="42"/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</x:row>
    <x:row r="53">
      <x:c r="A53" s="42"/>
      <x:c r="B53" s="42"/>
      <x:c r="C53" s="42"/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</x:row>
    <x:row r="54">
      <x:c r="A54" s="42"/>
      <x:c r="B54" s="42"/>
      <x:c r="C54" s="42"/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</x:row>
    <x:row r="55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</x:row>
    <x:row r="56">
      <x:c r="A56" s="42"/>
      <x:c r="B56" s="42"/>
      <x:c r="C56" s="42"/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</x:row>
    <x:row r="57">
      <x:c r="A57" s="42"/>
      <x:c r="B57" s="42"/>
      <x:c r="C57" s="42"/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</x:row>
    <x:row r="58">
      <x:c r="A58" s="42"/>
      <x:c r="B58" s="42"/>
      <x:c r="C58" s="42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</x:row>
    <x:row r="59">
      <x:c r="A59" s="42"/>
      <x:c r="B59" s="42"/>
      <x:c r="C59" s="42"/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</x:row>
    <x:row r="60">
      <x:c r="A60" s="42"/>
      <x:c r="B60" s="42"/>
      <x:c r="C60" s="42"/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</x:row>
    <x:row r="61">
      <x:c r="A61" s="42"/>
      <x:c r="B61" s="42"/>
      <x:c r="C61" s="42"/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</x:row>
    <x:row r="62">
      <x:c r="A62" s="42"/>
      <x:c r="B62" s="42"/>
      <x:c r="C62" s="42"/>
      <x:c r="D62" s="42"/>
      <x:c r="E62" s="42"/>
      <x:c r="F62" s="42"/>
      <x:c r="G62" s="42"/>
      <x:c r="H62" s="42"/>
      <x:c r="I62" s="42"/>
      <x:c r="J62" s="42"/>
      <x:c r="K62" s="42"/>
      <x:c r="L62" s="42"/>
      <x:c r="M62" s="42"/>
    </x:row>
    <x:row r="63">
      <x:c r="A63" s="42"/>
      <x:c r="B63" s="42"/>
      <x:c r="C63" s="42"/>
      <x:c r="D63" s="42"/>
      <x:c r="E63" s="42"/>
      <x:c r="F63" s="42"/>
      <x:c r="G63" s="42"/>
      <x:c r="H63" s="42"/>
      <x:c r="I63" s="42"/>
      <x:c r="J63" s="42"/>
      <x:c r="K63" s="42"/>
      <x:c r="L63" s="42"/>
      <x:c r="M63" s="42"/>
    </x:row>
    <x:row r="64">
      <x:c r="A64" s="42"/>
      <x:c r="B64" s="42"/>
      <x:c r="C64" s="42"/>
      <x:c r="D64" s="42"/>
      <x:c r="E64" s="42"/>
      <x:c r="F64" s="42"/>
      <x:c r="G64" s="42"/>
      <x:c r="H64" s="42"/>
      <x:c r="I64" s="42"/>
      <x:c r="J64" s="42"/>
      <x:c r="K64" s="42"/>
      <x:c r="L64" s="42"/>
      <x:c r="M64" s="42"/>
    </x:row>
    <x:row r="65">
      <x:c r="A65" s="42"/>
      <x:c r="B65" s="42"/>
      <x:c r="C65" s="42"/>
      <x:c r="D65" s="42"/>
      <x:c r="E65" s="42"/>
      <x:c r="F65" s="42"/>
      <x:c r="G65" s="42"/>
      <x:c r="H65" s="42"/>
      <x:c r="I65" s="42"/>
      <x:c r="J65" s="42"/>
      <x:c r="K65" s="42"/>
      <x:c r="L65" s="42"/>
      <x:c r="M65" s="42"/>
    </x:row>
    <x:row r="66">
      <x:c r="A66" s="42"/>
      <x:c r="B66" s="42"/>
      <x:c r="C66" s="42"/>
      <x:c r="D66" s="42"/>
      <x:c r="E66" s="42"/>
      <x:c r="F66" s="42"/>
      <x:c r="G66" s="42"/>
      <x:c r="H66" s="42"/>
      <x:c r="I66" s="42"/>
      <x:c r="J66" s="42"/>
      <x:c r="K66" s="42"/>
      <x:c r="L66" s="42"/>
      <x:c r="M66" s="42"/>
    </x:row>
    <x:row r="67">
      <x:c r="A67" s="42"/>
      <x:c r="B67" s="42"/>
      <x:c r="C67" s="42"/>
      <x:c r="D67" s="42"/>
      <x:c r="E67" s="42"/>
      <x:c r="F67" s="42"/>
      <x:c r="G67" s="42"/>
      <x:c r="H67" s="42"/>
      <x:c r="I67" s="42"/>
      <x:c r="J67" s="42"/>
      <x:c r="K67" s="42"/>
      <x:c r="L67" s="42"/>
      <x:c r="M67" s="42"/>
    </x:row>
    <x:row r="68">
      <x:c r="A68" s="42"/>
      <x:c r="B68" s="42"/>
      <x:c r="C68" s="42"/>
      <x:c r="D68" s="42"/>
      <x:c r="E68" s="42"/>
      <x:c r="F68" s="42"/>
      <x:c r="G68" s="42"/>
      <x:c r="H68" s="42"/>
      <x:c r="I68" s="42"/>
      <x:c r="J68" s="42"/>
      <x:c r="K68" s="42"/>
      <x:c r="L68" s="42"/>
      <x:c r="M68" s="42"/>
    </x:row>
    <x:row r="69">
      <x:c r="A69" s="42"/>
      <x:c r="B69" s="42"/>
      <x:c r="C69" s="42"/>
      <x:c r="D69" s="42"/>
      <x:c r="E69" s="42"/>
      <x:c r="F69" s="42"/>
      <x:c r="G69" s="42"/>
      <x:c r="H69" s="42"/>
      <x:c r="I69" s="42"/>
      <x:c r="J69" s="42"/>
      <x:c r="K69" s="42"/>
      <x:c r="L69" s="42"/>
      <x:c r="M69" s="42"/>
    </x:row>
    <x:row r="70">
      <x:c r="A70" s="42"/>
      <x:c r="B70" s="42"/>
      <x:c r="C70" s="42"/>
      <x:c r="D70" s="42"/>
      <x:c r="E70" s="42"/>
      <x:c r="F70" s="42"/>
      <x:c r="G70" s="42"/>
      <x:c r="H70" s="42"/>
      <x:c r="I70" s="42"/>
      <x:c r="J70" s="42"/>
      <x:c r="K70" s="42"/>
      <x:c r="L70" s="42"/>
      <x:c r="M70" s="42"/>
    </x:row>
    <x:row r="71">
      <x:c r="A71" s="42"/>
      <x:c r="B71" s="42"/>
      <x:c r="C71" s="42"/>
      <x:c r="D71" s="42"/>
      <x:c r="E71" s="42"/>
      <x:c r="F71" s="42"/>
      <x:c r="G71" s="42"/>
      <x:c r="H71" s="42"/>
      <x:c r="I71" s="42"/>
      <x:c r="J71" s="42"/>
      <x:c r="K71" s="42"/>
      <x:c r="L71" s="42"/>
      <x:c r="M71" s="42"/>
    </x:row>
    <x:row r="72">
      <x:c r="A72" s="42"/>
      <x:c r="B72" s="42"/>
      <x:c r="C72" s="42"/>
      <x:c r="D72" s="42"/>
      <x:c r="E72" s="42"/>
      <x:c r="F72" s="42"/>
      <x:c r="G72" s="42"/>
      <x:c r="H72" s="42"/>
      <x:c r="I72" s="42"/>
      <x:c r="J72" s="42"/>
      <x:c r="K72" s="42"/>
      <x:c r="L72" s="42"/>
      <x:c r="M72" s="42"/>
    </x:row>
    <x:row r="73">
      <x:c r="A73" s="42"/>
      <x:c r="B73" s="42"/>
      <x:c r="C73" s="42"/>
      <x:c r="D73" s="42"/>
      <x:c r="E73" s="42"/>
      <x:c r="F73" s="42"/>
      <x:c r="G73" s="42"/>
      <x:c r="H73" s="42"/>
      <x:c r="I73" s="42"/>
      <x:c r="J73" s="42"/>
      <x:c r="K73" s="42"/>
      <x:c r="L73" s="42"/>
      <x:c r="M73" s="42"/>
    </x:row>
    <x:row r="74">
      <x:c r="A74" s="42"/>
      <x:c r="B74" s="42"/>
      <x:c r="C74" s="42"/>
      <x:c r="D74" s="42"/>
      <x:c r="E74" s="42"/>
      <x:c r="F74" s="42"/>
      <x:c r="G74" s="42"/>
      <x:c r="H74" s="42"/>
      <x:c r="I74" s="42"/>
      <x:c r="J74" s="42"/>
      <x:c r="K74" s="42"/>
      <x:c r="L74" s="42"/>
      <x:c r="M74" s="42"/>
    </x:row>
    <x:row r="75">
      <x:c r="A75" s="42"/>
      <x:c r="B75" s="42"/>
      <x:c r="C75" s="42"/>
      <x:c r="D75" s="42"/>
      <x:c r="E75" s="42"/>
      <x:c r="F75" s="42"/>
      <x:c r="G75" s="42"/>
      <x:c r="H75" s="42"/>
      <x:c r="I75" s="42"/>
      <x:c r="J75" s="42"/>
      <x:c r="K75" s="42"/>
      <x:c r="L75" s="42"/>
      <x:c r="M75" s="42"/>
    </x:row>
    <x:row r="76">
      <x:c r="A76" s="42"/>
      <x:c r="B76" s="42"/>
      <x:c r="C76" s="42"/>
      <x:c r="D76" s="42"/>
      <x:c r="E76" s="42"/>
      <x:c r="F76" s="42"/>
      <x:c r="G76" s="42"/>
      <x:c r="H76" s="42"/>
      <x:c r="I76" s="42"/>
      <x:c r="J76" s="42"/>
      <x:c r="K76" s="42"/>
      <x:c r="L76" s="42"/>
      <x:c r="M76" s="42"/>
    </x:row>
    <x:row r="77">
      <x:c r="A77" s="42"/>
      <x:c r="B77" s="42"/>
      <x:c r="C77" s="42"/>
      <x:c r="D77" s="42"/>
      <x:c r="E77" s="42"/>
      <x:c r="F77" s="42"/>
      <x:c r="G77" s="42"/>
      <x:c r="H77" s="42"/>
      <x:c r="I77" s="42"/>
      <x:c r="J77" s="42"/>
      <x:c r="K77" s="42"/>
      <x:c r="L77" s="42"/>
      <x:c r="M77" s="42"/>
    </x:row>
    <x:row r="78">
      <x:c r="A78" s="42"/>
      <x:c r="B78" s="42"/>
      <x:c r="C78" s="42"/>
      <x:c r="D78" s="42"/>
      <x:c r="E78" s="42"/>
      <x:c r="F78" s="42"/>
      <x:c r="G78" s="42"/>
      <x:c r="H78" s="42"/>
      <x:c r="I78" s="42"/>
      <x:c r="J78" s="42"/>
      <x:c r="K78" s="42"/>
      <x:c r="L78" s="42"/>
      <x:c r="M78" s="42"/>
    </x:row>
    <x:row r="79">
      <x:c r="A79" s="42"/>
      <x:c r="B79" s="42"/>
      <x:c r="C79" s="42"/>
      <x:c r="D79" s="42"/>
      <x:c r="E79" s="42"/>
      <x:c r="F79" s="42"/>
      <x:c r="G79" s="42"/>
      <x:c r="H79" s="42"/>
      <x:c r="I79" s="42"/>
      <x:c r="J79" s="42"/>
      <x:c r="K79" s="42"/>
      <x:c r="L79" s="42"/>
      <x:c r="M79" s="42"/>
    </x:row>
    <x:row r="80">
      <x:c r="A80" s="42"/>
      <x:c r="B80" s="42"/>
      <x:c r="C80" s="42"/>
      <x:c r="D80" s="42"/>
      <x:c r="E80" s="42"/>
      <x:c r="F80" s="42"/>
      <x:c r="G80" s="42"/>
      <x:c r="H80" s="42"/>
      <x:c r="I80" s="42"/>
      <x:c r="J80" s="42"/>
      <x:c r="K80" s="42"/>
      <x:c r="L80" s="42"/>
      <x:c r="M80" s="42"/>
    </x:row>
    <x:row r="81">
      <x:c r="A81" s="42"/>
      <x:c r="B81" s="42"/>
      <x:c r="C81" s="42"/>
      <x:c r="D81" s="42"/>
      <x:c r="E81" s="42"/>
      <x:c r="F81" s="42"/>
      <x:c r="G81" s="42"/>
      <x:c r="H81" s="42"/>
      <x:c r="I81" s="42"/>
      <x:c r="J81" s="42"/>
      <x:c r="K81" s="42"/>
      <x:c r="L81" s="42"/>
      <x:c r="M81" s="42"/>
    </x:row>
    <x:row r="82">
      <x:c r="A82" s="42"/>
      <x:c r="B82" s="42"/>
      <x:c r="C82" s="42"/>
      <x:c r="D82" s="42"/>
      <x:c r="E82" s="42"/>
      <x:c r="F82" s="42"/>
      <x:c r="G82" s="42"/>
      <x:c r="H82" s="42"/>
      <x:c r="I82" s="42"/>
      <x:c r="J82" s="42"/>
      <x:c r="K82" s="42"/>
      <x:c r="L82" s="42"/>
      <x:c r="M82" s="42"/>
    </x:row>
    <x:row r="83">
      <x:c r="A83" s="42"/>
      <x:c r="B83" s="42"/>
      <x:c r="C83" s="42"/>
      <x:c r="D83" s="42"/>
      <x:c r="E83" s="42"/>
      <x:c r="F83" s="42"/>
      <x:c r="G83" s="42"/>
      <x:c r="H83" s="42"/>
      <x:c r="I83" s="42"/>
      <x:c r="J83" s="42"/>
      <x:c r="K83" s="42"/>
      <x:c r="L83" s="42"/>
      <x:c r="M83" s="42"/>
    </x:row>
    <x:row r="84">
      <x:c r="A84" s="42"/>
      <x:c r="B84" s="42"/>
      <x:c r="C84" s="42"/>
      <x:c r="D84" s="42"/>
      <x:c r="E84" s="42"/>
      <x:c r="F84" s="42"/>
      <x:c r="G84" s="42"/>
      <x:c r="H84" s="42"/>
      <x:c r="I84" s="42"/>
      <x:c r="J84" s="42"/>
      <x:c r="K84" s="42"/>
      <x:c r="L84" s="42"/>
      <x:c r="M84" s="42"/>
    </x:row>
    <x:row r="85">
      <x:c r="A85" s="42"/>
      <x:c r="B85" s="42"/>
      <x:c r="C85" s="42"/>
      <x:c r="D85" s="42"/>
      <x:c r="E85" s="42"/>
      <x:c r="F85" s="42"/>
      <x:c r="G85" s="42"/>
      <x:c r="H85" s="42"/>
      <x:c r="I85" s="42"/>
      <x:c r="J85" s="42"/>
      <x:c r="K85" s="42"/>
      <x:c r="L85" s="42"/>
      <x:c r="M85" s="42"/>
    </x:row>
    <x:row r="86">
      <x:c r="A86" s="42"/>
      <x:c r="B86" s="42"/>
      <x:c r="C86" s="42"/>
      <x:c r="D86" s="42"/>
      <x:c r="E86" s="42"/>
      <x:c r="F86" s="42"/>
      <x:c r="G86" s="42"/>
      <x:c r="H86" s="42"/>
      <x:c r="I86" s="42"/>
      <x:c r="J86" s="42"/>
      <x:c r="K86" s="42"/>
      <x:c r="L86" s="42"/>
      <x:c r="M86" s="42"/>
    </x:row>
    <x:row r="87">
      <x:c r="A87" s="42"/>
      <x:c r="B87" s="42"/>
      <x:c r="C87" s="42"/>
      <x:c r="D87" s="42"/>
      <x:c r="E87" s="42"/>
      <x:c r="F87" s="42"/>
      <x:c r="G87" s="42"/>
      <x:c r="H87" s="42"/>
      <x:c r="I87" s="42"/>
      <x:c r="J87" s="42"/>
      <x:c r="K87" s="42"/>
      <x:c r="L87" s="42"/>
      <x:c r="M87" s="42"/>
    </x:row>
    <x:row r="88">
      <x:c r="A88" s="42"/>
      <x:c r="B88" s="42"/>
      <x:c r="C88" s="42"/>
      <x:c r="D88" s="42"/>
      <x:c r="E88" s="42"/>
      <x:c r="F88" s="42"/>
      <x:c r="G88" s="42"/>
      <x:c r="H88" s="42"/>
      <x:c r="I88" s="42"/>
      <x:c r="J88" s="42"/>
      <x:c r="K88" s="42"/>
      <x:c r="L88" s="42"/>
      <x:c r="M88" s="42"/>
    </x:row>
    <x:row r="89">
      <x:c r="A89" s="42"/>
      <x:c r="B89" s="42"/>
      <x:c r="C89" s="42"/>
      <x:c r="D89" s="42"/>
      <x:c r="E89" s="42"/>
      <x:c r="F89" s="42"/>
      <x:c r="G89" s="42"/>
      <x:c r="H89" s="42"/>
      <x:c r="I89" s="42"/>
      <x:c r="J89" s="42"/>
      <x:c r="K89" s="42"/>
      <x:c r="L89" s="42"/>
      <x:c r="M89" s="42"/>
    </x:row>
    <x:row r="90">
      <x:c r="A90" s="42"/>
      <x:c r="B90" s="42"/>
      <x:c r="C90" s="42"/>
      <x:c r="D90" s="42"/>
      <x:c r="E90" s="42"/>
      <x:c r="F90" s="42"/>
      <x:c r="G90" s="42"/>
      <x:c r="H90" s="42"/>
      <x:c r="I90" s="42"/>
      <x:c r="J90" s="42"/>
      <x:c r="K90" s="42"/>
      <x:c r="L90" s="42"/>
      <x:c r="M90" s="42"/>
    </x:row>
    <x:row r="91">
      <x:c r="A91" s="42"/>
      <x:c r="B91" s="42"/>
      <x:c r="C91" s="42"/>
      <x:c r="D91" s="42"/>
      <x:c r="E91" s="42"/>
      <x:c r="F91" s="42"/>
      <x:c r="G91" s="42"/>
      <x:c r="H91" s="42"/>
      <x:c r="I91" s="42"/>
      <x:c r="J91" s="42"/>
      <x:c r="K91" s="42"/>
      <x:c r="L91" s="42"/>
      <x:c r="M91" s="42"/>
    </x:row>
    <x:row r="92">
      <x:c r="A92" s="42"/>
      <x:c r="B92" s="42"/>
      <x:c r="C92" s="42"/>
      <x:c r="D92" s="42"/>
      <x:c r="E92" s="42"/>
      <x:c r="F92" s="42"/>
      <x:c r="G92" s="42"/>
      <x:c r="H92" s="42"/>
      <x:c r="I92" s="42"/>
      <x:c r="J92" s="42"/>
      <x:c r="K92" s="42"/>
      <x:c r="L92" s="42"/>
      <x:c r="M92" s="42"/>
    </x:row>
    <x:row r="93">
      <x:c r="A93" s="42"/>
      <x:c r="B93" s="42"/>
      <x:c r="C93" s="42"/>
      <x:c r="D93" s="42"/>
      <x:c r="E93" s="42"/>
      <x:c r="F93" s="42"/>
      <x:c r="G93" s="42"/>
      <x:c r="H93" s="42"/>
      <x:c r="I93" s="42"/>
      <x:c r="J93" s="42"/>
      <x:c r="K93" s="42"/>
      <x:c r="L93" s="42"/>
      <x:c r="M93" s="42"/>
    </x:row>
    <x:row r="94">
      <x:c r="A94" s="42"/>
      <x:c r="B94" s="42"/>
      <x:c r="C94" s="42"/>
      <x:c r="D94" s="42"/>
      <x:c r="E94" s="42"/>
      <x:c r="F94" s="42"/>
      <x:c r="G94" s="42"/>
      <x:c r="H94" s="42"/>
      <x:c r="I94" s="42"/>
      <x:c r="J94" s="42"/>
      <x:c r="K94" s="42"/>
      <x:c r="L94" s="42"/>
      <x:c r="M94" s="42"/>
    </x:row>
    <x:row r="95">
      <x:c r="A95" s="42"/>
      <x:c r="B95" s="42"/>
      <x:c r="C95" s="42"/>
      <x:c r="D95" s="42"/>
      <x:c r="E95" s="42"/>
      <x:c r="F95" s="42"/>
      <x:c r="G95" s="42"/>
      <x:c r="H95" s="42"/>
      <x:c r="I95" s="42"/>
      <x:c r="J95" s="42"/>
      <x:c r="K95" s="42"/>
      <x:c r="L95" s="42"/>
      <x:c r="M95" s="42"/>
    </x:row>
    <x:row r="96">
      <x:c r="A96" s="42"/>
      <x:c r="B96" s="42"/>
      <x:c r="C96" s="42"/>
      <x:c r="D96" s="42"/>
      <x:c r="E96" s="42"/>
      <x:c r="F96" s="42"/>
      <x:c r="G96" s="42"/>
      <x:c r="H96" s="42"/>
      <x:c r="I96" s="42"/>
      <x:c r="J96" s="42"/>
      <x:c r="K96" s="42"/>
      <x:c r="L96" s="42"/>
      <x:c r="M96" s="42"/>
    </x:row>
    <x:row r="97">
      <x:c r="A97" s="42"/>
      <x:c r="B97" s="42"/>
      <x:c r="C97" s="42"/>
      <x:c r="D97" s="42"/>
      <x:c r="E97" s="42"/>
      <x:c r="F97" s="42"/>
      <x:c r="G97" s="42"/>
      <x:c r="H97" s="42"/>
      <x:c r="I97" s="42"/>
      <x:c r="J97" s="42"/>
      <x:c r="K97" s="42"/>
      <x:c r="L97" s="42"/>
      <x:c r="M97" s="42"/>
    </x:row>
    <x:row r="98">
      <x:c r="A98" s="42"/>
      <x:c r="B98" s="42"/>
      <x:c r="C98" s="42"/>
      <x:c r="D98" s="42"/>
      <x:c r="E98" s="42"/>
      <x:c r="F98" s="42"/>
      <x:c r="G98" s="42"/>
      <x:c r="H98" s="42"/>
      <x:c r="I98" s="42"/>
      <x:c r="J98" s="42"/>
      <x:c r="K98" s="42"/>
      <x:c r="L98" s="42"/>
      <x:c r="M98" s="42"/>
    </x:row>
    <x:row r="99">
      <x:c r="A99" s="42"/>
      <x:c r="B99" s="42"/>
      <x:c r="C99" s="42"/>
      <x:c r="D99" s="42"/>
      <x:c r="E99" s="42"/>
      <x:c r="F99" s="42"/>
      <x:c r="G99" s="42"/>
      <x:c r="H99" s="42"/>
      <x:c r="I99" s="42"/>
      <x:c r="J99" s="42"/>
      <x:c r="K99" s="42"/>
      <x:c r="L99" s="42"/>
      <x:c r="M99" s="42"/>
    </x:row>
    <x:row r="100">
      <x:c r="A100" s="42"/>
      <x:c r="B100" s="42"/>
      <x:c r="C100" s="42"/>
      <x:c r="D100" s="42"/>
      <x:c r="E100" s="42"/>
      <x:c r="F100" s="42"/>
      <x:c r="G100" s="42"/>
      <x:c r="H100" s="42"/>
      <x:c r="I100" s="42"/>
      <x:c r="J100" s="42"/>
      <x:c r="K100" s="42"/>
      <x:c r="L100" s="42"/>
      <x:c r="M100" s="42"/>
    </x:row>
    <x:row r="101">
      <x:c r="A101" s="42"/>
      <x:c r="B101" s="42"/>
      <x:c r="C101" s="42"/>
      <x:c r="D101" s="42"/>
      <x:c r="E101" s="42"/>
      <x:c r="F101" s="42"/>
      <x:c r="G101" s="42"/>
      <x:c r="H101" s="42"/>
      <x:c r="I101" s="42"/>
      <x:c r="J101" s="42"/>
      <x:c r="K101" s="42"/>
      <x:c r="L101" s="42"/>
      <x:c r="M101" s="42"/>
    </x:row>
    <x:row r="102">
      <x:c r="A102" s="42"/>
      <x:c r="B102" s="42"/>
      <x:c r="C102" s="42"/>
      <x:c r="D102" s="42"/>
      <x:c r="E102" s="42"/>
      <x:c r="F102" s="42"/>
      <x:c r="G102" s="42"/>
      <x:c r="H102" s="42"/>
      <x:c r="I102" s="42"/>
      <x:c r="J102" s="42"/>
      <x:c r="K102" s="42"/>
      <x:c r="L102" s="42"/>
      <x:c r="M102" s="42"/>
    </x:row>
    <x:row r="103">
      <x:c r="A103" s="42"/>
      <x:c r="B103" s="42"/>
      <x:c r="C103" s="42"/>
      <x:c r="D103" s="42"/>
      <x:c r="E103" s="42"/>
      <x:c r="F103" s="42"/>
      <x:c r="G103" s="42"/>
      <x:c r="H103" s="42"/>
      <x:c r="I103" s="42"/>
      <x:c r="J103" s="42"/>
      <x:c r="K103" s="42"/>
      <x:c r="L103" s="42"/>
      <x:c r="M103" s="42"/>
    </x:row>
    <x:row r="104">
      <x:c r="A104" s="42"/>
      <x:c r="B104" s="42"/>
      <x:c r="C104" s="42"/>
      <x:c r="D104" s="42"/>
      <x:c r="E104" s="42"/>
      <x:c r="F104" s="42"/>
      <x:c r="G104" s="42"/>
      <x:c r="H104" s="42"/>
      <x:c r="I104" s="42"/>
      <x:c r="J104" s="42"/>
      <x:c r="K104" s="42"/>
      <x:c r="L104" s="42"/>
      <x:c r="M104" s="42"/>
    </x:row>
    <x:row r="105">
      <x:c r="A105" s="42"/>
      <x:c r="B105" s="42"/>
      <x:c r="C105" s="42"/>
      <x:c r="D105" s="42"/>
      <x:c r="E105" s="42"/>
      <x:c r="F105" s="42"/>
      <x:c r="G105" s="42"/>
      <x:c r="H105" s="42"/>
      <x:c r="I105" s="42"/>
      <x:c r="J105" s="42"/>
      <x:c r="K105" s="42"/>
      <x:c r="L105" s="42"/>
      <x:c r="M105" s="42"/>
    </x:row>
    <x:row r="106">
      <x:c r="A106" s="42"/>
      <x:c r="B106" s="42"/>
      <x:c r="C106" s="42"/>
      <x:c r="D106" s="42"/>
      <x:c r="E106" s="42"/>
      <x:c r="F106" s="42"/>
      <x:c r="G106" s="42"/>
      <x:c r="H106" s="42"/>
      <x:c r="I106" s="42"/>
      <x:c r="J106" s="42"/>
      <x:c r="K106" s="42"/>
      <x:c r="L106" s="42"/>
      <x:c r="M106" s="42"/>
    </x:row>
    <x:row r="107">
      <x:c r="A107" s="42"/>
      <x:c r="B107" s="42"/>
      <x:c r="C107" s="42"/>
      <x:c r="D107" s="42"/>
      <x:c r="E107" s="42"/>
      <x:c r="F107" s="42"/>
      <x:c r="G107" s="42"/>
      <x:c r="H107" s="42"/>
      <x:c r="I107" s="42"/>
      <x:c r="J107" s="42"/>
      <x:c r="K107" s="42"/>
      <x:c r="L107" s="42"/>
      <x:c r="M107" s="42"/>
    </x:row>
    <x:row r="108">
      <x:c r="A108" s="42"/>
      <x:c r="B108" s="42"/>
      <x:c r="C108" s="42"/>
      <x:c r="D108" s="42"/>
      <x:c r="E108" s="42"/>
      <x:c r="F108" s="42"/>
      <x:c r="G108" s="42"/>
      <x:c r="H108" s="42"/>
      <x:c r="I108" s="42"/>
      <x:c r="J108" s="42"/>
      <x:c r="K108" s="42"/>
      <x:c r="L108" s="42"/>
      <x:c r="M108" s="42"/>
    </x:row>
    <x:row r="109">
      <x:c r="A109" s="42"/>
      <x:c r="B109" s="42"/>
      <x:c r="C109" s="42"/>
      <x:c r="D109" s="42"/>
      <x:c r="E109" s="42"/>
      <x:c r="F109" s="42"/>
      <x:c r="G109" s="42"/>
      <x:c r="H109" s="42"/>
      <x:c r="I109" s="42"/>
      <x:c r="J109" s="42"/>
      <x:c r="K109" s="42"/>
      <x:c r="L109" s="42"/>
      <x:c r="M109" s="42"/>
    </x:row>
    <x:row r="110">
      <x:c r="A110" s="42"/>
      <x:c r="B110" s="42"/>
      <x:c r="C110" s="42"/>
      <x:c r="D110" s="42"/>
      <x:c r="E110" s="42"/>
      <x:c r="F110" s="42"/>
      <x:c r="G110" s="42"/>
      <x:c r="H110" s="42"/>
      <x:c r="I110" s="42"/>
      <x:c r="J110" s="42"/>
      <x:c r="K110" s="42"/>
      <x:c r="L110" s="42"/>
      <x:c r="M110" s="42"/>
    </x:row>
    <x:row r="111">
      <x:c r="A111" s="42"/>
      <x:c r="B111" s="42"/>
      <x:c r="C111" s="42"/>
      <x:c r="D111" s="42"/>
      <x:c r="E111" s="42"/>
      <x:c r="F111" s="42"/>
      <x:c r="G111" s="42"/>
      <x:c r="H111" s="42"/>
      <x:c r="I111" s="42"/>
      <x:c r="J111" s="42"/>
      <x:c r="K111" s="42"/>
      <x:c r="L111" s="42"/>
      <x:c r="M111" s="42"/>
    </x:row>
    <x:row r="112">
      <x:c r="A112" s="42"/>
      <x:c r="B112" s="42"/>
      <x:c r="C112" s="42"/>
      <x:c r="D112" s="42"/>
      <x:c r="E112" s="42"/>
      <x:c r="F112" s="42"/>
      <x:c r="G112" s="42"/>
      <x:c r="H112" s="42"/>
      <x:c r="I112" s="42"/>
      <x:c r="J112" s="42"/>
      <x:c r="K112" s="42"/>
      <x:c r="L112" s="42"/>
      <x:c r="M112" s="42"/>
    </x:row>
    <x:row r="113">
      <x:c r="A113" s="42"/>
      <x:c r="B113" s="42"/>
      <x:c r="C113" s="42"/>
      <x:c r="D113" s="42"/>
      <x:c r="E113" s="42"/>
      <x:c r="F113" s="42"/>
      <x:c r="G113" s="42"/>
      <x:c r="H113" s="42"/>
      <x:c r="I113" s="42"/>
      <x:c r="J113" s="42"/>
      <x:c r="K113" s="42"/>
      <x:c r="L113" s="42"/>
      <x:c r="M113" s="42"/>
    </x:row>
    <x:row r="114">
      <x:c r="A114" s="42"/>
      <x:c r="B114" s="42"/>
      <x:c r="C114" s="42"/>
      <x:c r="D114" s="42"/>
      <x:c r="E114" s="42"/>
      <x:c r="F114" s="42"/>
      <x:c r="G114" s="42"/>
      <x:c r="H114" s="42"/>
      <x:c r="I114" s="42"/>
      <x:c r="J114" s="42"/>
      <x:c r="K114" s="42"/>
      <x:c r="L114" s="42"/>
      <x:c r="M114" s="42"/>
    </x:row>
    <x:row r="115">
      <x:c r="A115" s="42"/>
      <x:c r="B115" s="42"/>
      <x:c r="C115" s="42"/>
      <x:c r="D115" s="42"/>
      <x:c r="E115" s="42"/>
      <x:c r="F115" s="42"/>
      <x:c r="G115" s="42"/>
      <x:c r="H115" s="42"/>
      <x:c r="I115" s="42"/>
      <x:c r="J115" s="42"/>
      <x:c r="K115" s="42"/>
      <x:c r="L115" s="42"/>
      <x:c r="M115" s="42"/>
    </x:row>
    <x:row r="116">
      <x:c r="A116" s="42"/>
      <x:c r="B116" s="42"/>
      <x:c r="C116" s="42"/>
      <x:c r="D116" s="42"/>
      <x:c r="E116" s="42"/>
      <x:c r="F116" s="42"/>
      <x:c r="G116" s="42"/>
      <x:c r="H116" s="42"/>
      <x:c r="I116" s="42"/>
      <x:c r="J116" s="42"/>
      <x:c r="K116" s="42"/>
      <x:c r="L116" s="42"/>
      <x:c r="M116" s="42"/>
    </x:row>
    <x:row r="117">
      <x:c r="A117" s="42"/>
      <x:c r="B117" s="42"/>
      <x:c r="C117" s="42"/>
      <x:c r="D117" s="42"/>
      <x:c r="E117" s="42"/>
      <x:c r="F117" s="42"/>
      <x:c r="G117" s="42"/>
      <x:c r="H117" s="42"/>
      <x:c r="I117" s="42"/>
      <x:c r="J117" s="42"/>
      <x:c r="K117" s="42"/>
      <x:c r="L117" s="42"/>
      <x:c r="M117" s="42"/>
    </x:row>
    <x:row r="118">
      <x:c r="A118" s="42"/>
      <x:c r="B118" s="42"/>
      <x:c r="C118" s="42"/>
      <x:c r="D118" s="42"/>
      <x:c r="E118" s="42"/>
      <x:c r="F118" s="42"/>
      <x:c r="G118" s="42"/>
      <x:c r="H118" s="42"/>
      <x:c r="I118" s="42"/>
      <x:c r="J118" s="42"/>
      <x:c r="K118" s="42"/>
      <x:c r="L118" s="42"/>
      <x:c r="M118" s="42"/>
    </x:row>
    <x:row r="119">
      <x:c r="A119" s="42"/>
      <x:c r="B119" s="42"/>
      <x:c r="C119" s="42"/>
      <x:c r="D119" s="42"/>
      <x:c r="E119" s="42"/>
      <x:c r="F119" s="42"/>
      <x:c r="G119" s="42"/>
      <x:c r="H119" s="42"/>
      <x:c r="I119" s="42"/>
      <x:c r="J119" s="42"/>
      <x:c r="K119" s="42"/>
      <x:c r="L119" s="42"/>
      <x:c r="M119" s="42"/>
    </x:row>
    <x:row r="120">
      <x:c r="A120" s="42"/>
      <x:c r="B120" s="42"/>
      <x:c r="C120" s="42"/>
      <x:c r="D120" s="42"/>
      <x:c r="E120" s="42"/>
      <x:c r="F120" s="42"/>
      <x:c r="G120" s="42"/>
      <x:c r="H120" s="42"/>
      <x:c r="I120" s="42"/>
      <x:c r="J120" s="42"/>
      <x:c r="K120" s="42"/>
      <x:c r="L120" s="42"/>
      <x:c r="M120" s="42"/>
    </x:row>
    <x:row r="121">
      <x:c r="A121" s="42"/>
      <x:c r="B121" s="42"/>
      <x:c r="C121" s="42"/>
      <x:c r="D121" s="42"/>
      <x:c r="E121" s="42"/>
      <x:c r="F121" s="42"/>
      <x:c r="G121" s="42"/>
      <x:c r="H121" s="42"/>
      <x:c r="I121" s="42"/>
      <x:c r="J121" s="42"/>
      <x:c r="K121" s="42"/>
      <x:c r="L121" s="42"/>
      <x:c r="M121" s="42"/>
    </x:row>
    <x:row r="122">
      <x:c r="A122" s="42"/>
      <x:c r="B122" s="42"/>
      <x:c r="C122" s="42"/>
      <x:c r="D122" s="42"/>
      <x:c r="E122" s="42"/>
      <x:c r="F122" s="42"/>
      <x:c r="G122" s="42"/>
      <x:c r="H122" s="42"/>
      <x:c r="I122" s="42"/>
      <x:c r="J122" s="42"/>
      <x:c r="K122" s="42"/>
      <x:c r="L122" s="42"/>
      <x:c r="M122" s="42"/>
    </x:row>
    <x:row r="123">
      <x:c r="A123" s="42"/>
      <x:c r="B123" s="42"/>
      <x:c r="C123" s="42"/>
      <x:c r="D123" s="42"/>
      <x:c r="E123" s="42"/>
      <x:c r="F123" s="42"/>
      <x:c r="G123" s="42"/>
      <x:c r="H123" s="42"/>
      <x:c r="I123" s="42"/>
      <x:c r="J123" s="42"/>
      <x:c r="K123" s="42"/>
      <x:c r="L123" s="42"/>
      <x:c r="M123" s="42"/>
    </x:row>
    <x:row r="124">
      <x:c r="A124" s="42"/>
      <x:c r="B124" s="42"/>
      <x:c r="C124" s="42"/>
      <x:c r="D124" s="42"/>
      <x:c r="E124" s="42"/>
      <x:c r="F124" s="42"/>
      <x:c r="G124" s="42"/>
      <x:c r="H124" s="42"/>
      <x:c r="I124" s="42"/>
      <x:c r="J124" s="42"/>
      <x:c r="K124" s="42"/>
      <x:c r="L124" s="42"/>
      <x:c r="M124" s="42"/>
    </x:row>
    <x:row r="125">
      <x:c r="A125" s="42"/>
      <x:c r="B125" s="42"/>
      <x:c r="C125" s="42"/>
      <x:c r="D125" s="42"/>
      <x:c r="E125" s="42"/>
      <x:c r="F125" s="42"/>
      <x:c r="G125" s="42"/>
      <x:c r="H125" s="42"/>
      <x:c r="I125" s="42"/>
      <x:c r="J125" s="42"/>
      <x:c r="K125" s="42"/>
      <x:c r="L125" s="42"/>
      <x:c r="M125" s="42"/>
    </x:row>
    <x:row r="126">
      <x:c r="A126" s="42"/>
      <x:c r="B126" s="42"/>
      <x:c r="C126" s="42"/>
      <x:c r="D126" s="42"/>
      <x:c r="E126" s="42"/>
      <x:c r="F126" s="42"/>
      <x:c r="G126" s="42"/>
      <x:c r="H126" s="42"/>
      <x:c r="I126" s="42"/>
      <x:c r="J126" s="42"/>
      <x:c r="K126" s="42"/>
      <x:c r="L126" s="42"/>
      <x:c r="M126" s="42"/>
    </x:row>
    <x:row r="127">
      <x:c r="A127" s="42"/>
      <x:c r="B127" s="42"/>
      <x:c r="C127" s="42"/>
      <x:c r="D127" s="42"/>
      <x:c r="E127" s="42"/>
      <x:c r="F127" s="42"/>
      <x:c r="G127" s="42"/>
      <x:c r="H127" s="42"/>
      <x:c r="I127" s="42"/>
      <x:c r="J127" s="42"/>
      <x:c r="K127" s="42"/>
      <x:c r="L127" s="42"/>
      <x:c r="M127" s="42"/>
    </x:row>
    <x:row r="128">
      <x:c r="A128" s="42"/>
      <x:c r="B128" s="42"/>
      <x:c r="C128" s="42"/>
      <x:c r="D128" s="42"/>
      <x:c r="E128" s="42"/>
      <x:c r="F128" s="42"/>
      <x:c r="G128" s="42"/>
      <x:c r="H128" s="42"/>
      <x:c r="I128" s="42"/>
      <x:c r="J128" s="42"/>
      <x:c r="K128" s="42"/>
      <x:c r="L128" s="42"/>
      <x:c r="M128" s="42"/>
    </x:row>
    <x:row r="129">
      <x:c r="A129" s="42"/>
      <x:c r="B129" s="42"/>
      <x:c r="C129" s="42"/>
      <x:c r="D129" s="42"/>
      <x:c r="E129" s="42"/>
      <x:c r="F129" s="42"/>
      <x:c r="G129" s="42"/>
      <x:c r="H129" s="42"/>
      <x:c r="I129" s="42"/>
      <x:c r="J129" s="42"/>
      <x:c r="K129" s="42"/>
      <x:c r="L129" s="42"/>
      <x:c r="M129" s="42"/>
    </x:row>
    <x:row r="130">
      <x:c r="A130" s="42"/>
      <x:c r="B130" s="42"/>
      <x:c r="C130" s="42"/>
      <x:c r="D130" s="42"/>
      <x:c r="E130" s="42"/>
      <x:c r="F130" s="42"/>
      <x:c r="G130" s="42"/>
      <x:c r="H130" s="42"/>
      <x:c r="I130" s="42"/>
      <x:c r="J130" s="42"/>
      <x:c r="K130" s="42"/>
      <x:c r="L130" s="42"/>
      <x:c r="M130" s="42"/>
    </x:row>
    <x:row r="131">
      <x:c r="A131" s="42"/>
      <x:c r="B131" s="42"/>
      <x:c r="C131" s="42"/>
      <x:c r="D131" s="42"/>
      <x:c r="E131" s="42"/>
      <x:c r="F131" s="42"/>
      <x:c r="G131" s="42"/>
      <x:c r="H131" s="42"/>
      <x:c r="I131" s="42"/>
      <x:c r="J131" s="42"/>
      <x:c r="K131" s="42"/>
      <x:c r="L131" s="42"/>
      <x:c r="M131" s="42"/>
    </x:row>
    <x:row r="132">
      <x:c r="A132" s="42"/>
      <x:c r="B132" s="42"/>
      <x:c r="C132" s="42"/>
      <x:c r="D132" s="42"/>
      <x:c r="E132" s="42"/>
      <x:c r="F132" s="42"/>
      <x:c r="G132" s="42"/>
      <x:c r="H132" s="42"/>
      <x:c r="I132" s="42"/>
      <x:c r="J132" s="42"/>
      <x:c r="K132" s="42"/>
      <x:c r="L132" s="42"/>
      <x:c r="M132" s="42"/>
    </x:row>
    <x:row r="133">
      <x:c r="A133" s="42"/>
      <x:c r="B133" s="42"/>
      <x:c r="C133" s="42"/>
      <x:c r="D133" s="42"/>
      <x:c r="E133" s="42"/>
      <x:c r="F133" s="42"/>
      <x:c r="G133" s="42"/>
      <x:c r="H133" s="42"/>
      <x:c r="I133" s="42"/>
      <x:c r="J133" s="42"/>
      <x:c r="K133" s="42"/>
      <x:c r="L133" s="42"/>
      <x:c r="M133" s="42"/>
    </x:row>
    <x:row r="134">
      <x:c r="A134" s="42"/>
      <x:c r="B134" s="42"/>
      <x:c r="C134" s="42"/>
      <x:c r="D134" s="42"/>
      <x:c r="E134" s="42"/>
      <x:c r="F134" s="42"/>
      <x:c r="G134" s="42"/>
      <x:c r="H134" s="42"/>
      <x:c r="I134" s="42"/>
      <x:c r="J134" s="42"/>
      <x:c r="K134" s="42"/>
      <x:c r="L134" s="42"/>
      <x:c r="M134" s="42"/>
    </x:row>
    <x:row r="135">
      <x:c r="A135" s="42"/>
      <x:c r="B135" s="42"/>
      <x:c r="C135" s="42"/>
      <x:c r="D135" s="42"/>
      <x:c r="E135" s="42"/>
      <x:c r="F135" s="42"/>
      <x:c r="G135" s="42"/>
      <x:c r="H135" s="42"/>
      <x:c r="I135" s="42"/>
      <x:c r="J135" s="42"/>
      <x:c r="K135" s="42"/>
      <x:c r="L135" s="42"/>
      <x:c r="M135" s="42"/>
    </x:row>
    <x:row r="136">
      <x:c r="A136" s="42"/>
      <x:c r="B136" s="42"/>
      <x:c r="C136" s="42"/>
      <x:c r="D136" s="42"/>
      <x:c r="E136" s="42"/>
      <x:c r="F136" s="42"/>
      <x:c r="G136" s="42"/>
      <x:c r="H136" s="42"/>
      <x:c r="I136" s="42"/>
      <x:c r="J136" s="42"/>
      <x:c r="K136" s="42"/>
      <x:c r="L136" s="42"/>
      <x:c r="M136" s="42"/>
    </x:row>
    <x:row r="137">
      <x:c r="A137" s="42"/>
      <x:c r="B137" s="42"/>
      <x:c r="C137" s="42"/>
      <x:c r="D137" s="42"/>
      <x:c r="E137" s="42"/>
      <x:c r="F137" s="42"/>
      <x:c r="G137" s="42"/>
      <x:c r="H137" s="42"/>
      <x:c r="I137" s="42"/>
      <x:c r="J137" s="42"/>
      <x:c r="K137" s="42"/>
      <x:c r="L137" s="42"/>
      <x:c r="M137" s="42"/>
    </x:row>
    <x:row r="138">
      <x:c r="A138" s="42"/>
      <x:c r="B138" s="42"/>
      <x:c r="C138" s="42"/>
      <x:c r="D138" s="42"/>
      <x:c r="E138" s="42"/>
      <x:c r="F138" s="42"/>
      <x:c r="G138" s="42"/>
      <x:c r="H138" s="42"/>
      <x:c r="I138" s="42"/>
      <x:c r="J138" s="42"/>
      <x:c r="K138" s="42"/>
      <x:c r="L138" s="42"/>
      <x:c r="M138" s="42"/>
    </x:row>
    <x:row r="139">
      <x:c r="A139" s="42"/>
      <x:c r="B139" s="42"/>
      <x:c r="C139" s="42"/>
      <x:c r="D139" s="42"/>
      <x:c r="E139" s="42"/>
      <x:c r="F139" s="42"/>
      <x:c r="G139" s="42"/>
      <x:c r="H139" s="42"/>
      <x:c r="I139" s="42"/>
      <x:c r="J139" s="42"/>
      <x:c r="K139" s="42"/>
      <x:c r="L139" s="42"/>
      <x:c r="M139" s="42"/>
    </x:row>
    <x:row r="140">
      <x:c r="A140" s="42"/>
      <x:c r="B140" s="42"/>
      <x:c r="C140" s="42"/>
      <x:c r="D140" s="42"/>
      <x:c r="E140" s="42"/>
      <x:c r="F140" s="42"/>
      <x:c r="G140" s="42"/>
      <x:c r="H140" s="42"/>
      <x:c r="I140" s="42"/>
      <x:c r="J140" s="42"/>
      <x:c r="K140" s="42"/>
      <x:c r="L140" s="42"/>
      <x:c r="M140" s="42"/>
    </x:row>
    <x:row r="141">
      <x:c r="A141" s="42"/>
      <x:c r="B141" s="42"/>
      <x:c r="C141" s="42"/>
      <x:c r="D141" s="42"/>
      <x:c r="E141" s="42"/>
      <x:c r="F141" s="42"/>
      <x:c r="G141" s="42"/>
      <x:c r="H141" s="42"/>
      <x:c r="I141" s="42"/>
      <x:c r="J141" s="42"/>
      <x:c r="K141" s="42"/>
      <x:c r="L141" s="42"/>
      <x:c r="M141" s="42"/>
    </x:row>
    <x:row r="142">
      <x:c r="A142" s="42"/>
      <x:c r="B142" s="42"/>
      <x:c r="C142" s="42"/>
      <x:c r="D142" s="42"/>
      <x:c r="E142" s="42"/>
      <x:c r="F142" s="42"/>
      <x:c r="G142" s="42"/>
      <x:c r="H142" s="42"/>
      <x:c r="I142" s="42"/>
      <x:c r="J142" s="42"/>
      <x:c r="K142" s="42"/>
      <x:c r="L142" s="42"/>
      <x:c r="M142" s="42"/>
    </x:row>
    <x:row r="143">
      <x:c r="A143" s="42"/>
      <x:c r="B143" s="42"/>
      <x:c r="C143" s="42"/>
      <x:c r="D143" s="42"/>
      <x:c r="E143" s="42"/>
      <x:c r="F143" s="42"/>
      <x:c r="G143" s="42"/>
      <x:c r="H143" s="42"/>
      <x:c r="I143" s="42"/>
      <x:c r="J143" s="42"/>
      <x:c r="K143" s="42"/>
      <x:c r="L143" s="42"/>
      <x:c r="M143" s="42"/>
    </x:row>
    <x:row r="144">
      <x:c r="A144" s="42"/>
      <x:c r="B144" s="42"/>
      <x:c r="C144" s="42"/>
      <x:c r="D144" s="42"/>
      <x:c r="E144" s="42"/>
      <x:c r="F144" s="42"/>
      <x:c r="G144" s="42"/>
      <x:c r="H144" s="42"/>
      <x:c r="I144" s="42"/>
      <x:c r="J144" s="42"/>
      <x:c r="K144" s="42"/>
      <x:c r="L144" s="42"/>
      <x:c r="M144" s="42"/>
    </x:row>
    <x:row r="145">
      <x:c r="A145" s="42"/>
      <x:c r="B145" s="42"/>
      <x:c r="C145" s="42"/>
      <x:c r="D145" s="42"/>
      <x:c r="E145" s="42"/>
      <x:c r="F145" s="42"/>
      <x:c r="G145" s="42"/>
      <x:c r="H145" s="42"/>
      <x:c r="I145" s="42"/>
      <x:c r="J145" s="42"/>
      <x:c r="K145" s="42"/>
      <x:c r="L145" s="42"/>
      <x:c r="M145" s="42"/>
    </x:row>
    <x:row r="146">
      <x:c r="A146" s="42"/>
      <x:c r="B146" s="42"/>
      <x:c r="C146" s="42"/>
      <x:c r="D146" s="42"/>
      <x:c r="E146" s="42"/>
      <x:c r="F146" s="42"/>
      <x:c r="G146" s="42"/>
      <x:c r="H146" s="42"/>
      <x:c r="I146" s="42"/>
      <x:c r="J146" s="42"/>
      <x:c r="K146" s="42"/>
      <x:c r="L146" s="42"/>
      <x:c r="M146" s="42"/>
    </x:row>
    <x:row r="147">
      <x:c r="A147" s="42"/>
      <x:c r="B147" s="42"/>
      <x:c r="C147" s="42"/>
      <x:c r="D147" s="42"/>
      <x:c r="E147" s="42"/>
      <x:c r="F147" s="42"/>
      <x:c r="G147" s="42"/>
      <x:c r="H147" s="42"/>
      <x:c r="I147" s="42"/>
      <x:c r="J147" s="42"/>
      <x:c r="K147" s="42"/>
      <x:c r="L147" s="42"/>
      <x:c r="M147" s="42"/>
    </x:row>
    <x:row r="148">
      <x:c r="A148" s="42"/>
      <x:c r="B148" s="42"/>
      <x:c r="C148" s="42"/>
      <x:c r="D148" s="42"/>
      <x:c r="E148" s="42"/>
      <x:c r="F148" s="42"/>
      <x:c r="G148" s="42"/>
      <x:c r="H148" s="42"/>
      <x:c r="I148" s="42"/>
      <x:c r="J148" s="42"/>
      <x:c r="K148" s="42"/>
      <x:c r="L148" s="42"/>
      <x:c r="M148" s="42"/>
    </x:row>
    <x:row r="149">
      <x:c r="A149" s="42"/>
      <x:c r="B149" s="42"/>
      <x:c r="C149" s="42"/>
      <x:c r="D149" s="42"/>
      <x:c r="E149" s="42"/>
      <x:c r="F149" s="42"/>
      <x:c r="G149" s="42"/>
      <x:c r="H149" s="42"/>
      <x:c r="I149" s="42"/>
      <x:c r="J149" s="42"/>
      <x:c r="K149" s="42"/>
      <x:c r="L149" s="42"/>
      <x:c r="M149" s="42"/>
    </x:row>
    <x:row r="150">
      <x:c r="A150" s="42"/>
      <x:c r="B150" s="42"/>
      <x:c r="C150" s="42"/>
      <x:c r="D150" s="42"/>
      <x:c r="E150" s="42"/>
      <x:c r="F150" s="42"/>
      <x:c r="G150" s="42"/>
      <x:c r="H150" s="42"/>
      <x:c r="I150" s="42"/>
      <x:c r="J150" s="42"/>
      <x:c r="K150" s="42"/>
      <x:c r="L150" s="42"/>
      <x:c r="M150" s="42"/>
    </x:row>
    <x:row r="151">
      <x:c r="A151" s="42"/>
      <x:c r="B151" s="42"/>
      <x:c r="C151" s="42"/>
      <x:c r="D151" s="42"/>
      <x:c r="E151" s="42"/>
      <x:c r="F151" s="42"/>
      <x:c r="G151" s="42"/>
      <x:c r="H151" s="42"/>
      <x:c r="I151" s="42"/>
      <x:c r="J151" s="42"/>
      <x:c r="K151" s="42"/>
      <x:c r="L151" s="42"/>
      <x:c r="M151" s="42"/>
    </x:row>
    <x:row r="152">
      <x:c r="A152" s="42"/>
      <x:c r="B152" s="42"/>
      <x:c r="C152" s="42"/>
      <x:c r="D152" s="42"/>
      <x:c r="E152" s="42"/>
      <x:c r="F152" s="42"/>
      <x:c r="G152" s="42"/>
      <x:c r="H152" s="42"/>
      <x:c r="I152" s="42"/>
      <x:c r="J152" s="42"/>
      <x:c r="K152" s="42"/>
      <x:c r="L152" s="42"/>
      <x:c r="M152" s="42"/>
    </x:row>
    <x:row r="153">
      <x:c r="A153" s="42"/>
      <x:c r="B153" s="42"/>
      <x:c r="C153" s="42"/>
      <x:c r="D153" s="42"/>
      <x:c r="E153" s="42"/>
      <x:c r="F153" s="42"/>
      <x:c r="G153" s="42"/>
      <x:c r="H153" s="42"/>
      <x:c r="I153" s="42"/>
      <x:c r="J153" s="42"/>
      <x:c r="K153" s="42"/>
      <x:c r="L153" s="42"/>
      <x:c r="M153" s="42"/>
    </x:row>
    <x:row r="154">
      <x:c r="A154" s="42"/>
      <x:c r="B154" s="42"/>
      <x:c r="C154" s="42"/>
      <x:c r="D154" s="42"/>
      <x:c r="E154" s="42"/>
      <x:c r="F154" s="42"/>
      <x:c r="G154" s="42"/>
      <x:c r="H154" s="42"/>
      <x:c r="I154" s="42"/>
      <x:c r="J154" s="42"/>
      <x:c r="K154" s="42"/>
      <x:c r="L154" s="42"/>
      <x:c r="M154" s="42"/>
    </x:row>
    <x:row r="155">
      <x:c r="A155" s="42"/>
      <x:c r="B155" s="42"/>
      <x:c r="C155" s="42"/>
      <x:c r="D155" s="42"/>
      <x:c r="E155" s="42"/>
      <x:c r="F155" s="42"/>
      <x:c r="G155" s="42"/>
      <x:c r="H155" s="42"/>
      <x:c r="I155" s="42"/>
      <x:c r="J155" s="42"/>
      <x:c r="K155" s="42"/>
      <x:c r="L155" s="42"/>
      <x:c r="M155" s="42"/>
    </x:row>
    <x:row r="156">
      <x:c r="A156" s="42"/>
      <x:c r="B156" s="42"/>
      <x:c r="C156" s="42"/>
      <x:c r="D156" s="42"/>
      <x:c r="E156" s="42"/>
      <x:c r="F156" s="42"/>
      <x:c r="G156" s="42"/>
      <x:c r="H156" s="42"/>
      <x:c r="I156" s="42"/>
      <x:c r="J156" s="42"/>
      <x:c r="K156" s="42"/>
      <x:c r="L156" s="42"/>
      <x:c r="M156" s="42"/>
    </x:row>
    <x:row r="157">
      <x:c r="A157" s="42"/>
      <x:c r="B157" s="42"/>
      <x:c r="C157" s="42"/>
      <x:c r="D157" s="42"/>
      <x:c r="E157" s="42"/>
      <x:c r="F157" s="42"/>
      <x:c r="G157" s="42"/>
      <x:c r="H157" s="42"/>
      <x:c r="I157" s="42"/>
      <x:c r="J157" s="42"/>
      <x:c r="K157" s="42"/>
      <x:c r="L157" s="42"/>
      <x:c r="M157" s="42"/>
    </x:row>
    <x:row r="158">
      <x:c r="A158" s="42"/>
      <x:c r="B158" s="42"/>
      <x:c r="C158" s="42"/>
      <x:c r="D158" s="42"/>
      <x:c r="E158" s="42"/>
      <x:c r="F158" s="42"/>
      <x:c r="G158" s="42"/>
      <x:c r="H158" s="42"/>
      <x:c r="I158" s="42"/>
      <x:c r="J158" s="42"/>
      <x:c r="K158" s="42"/>
      <x:c r="L158" s="42"/>
      <x:c r="M158" s="42"/>
    </x:row>
    <x:row r="159">
      <x:c r="A159" s="42"/>
      <x:c r="B159" s="42"/>
      <x:c r="C159" s="42"/>
      <x:c r="D159" s="42"/>
      <x:c r="E159" s="42"/>
      <x:c r="F159" s="42"/>
      <x:c r="G159" s="42"/>
      <x:c r="H159" s="42"/>
      <x:c r="I159" s="42"/>
      <x:c r="J159" s="42"/>
      <x:c r="K159" s="42"/>
      <x:c r="L159" s="42"/>
      <x:c r="M159" s="42"/>
    </x:row>
    <x:row r="160">
      <x:c r="A160" s="42"/>
      <x:c r="B160" s="42"/>
      <x:c r="C160" s="42"/>
      <x:c r="D160" s="42"/>
      <x:c r="E160" s="42"/>
      <x:c r="F160" s="42"/>
      <x:c r="G160" s="42"/>
      <x:c r="H160" s="42"/>
      <x:c r="I160" s="42"/>
      <x:c r="J160" s="42"/>
      <x:c r="K160" s="42"/>
      <x:c r="L160" s="42"/>
      <x:c r="M160" s="42"/>
    </x:row>
    <x:row r="161">
      <x:c r="A161" s="42"/>
      <x:c r="B161" s="42"/>
      <x:c r="C161" s="42"/>
      <x:c r="D161" s="42"/>
      <x:c r="E161" s="42"/>
      <x:c r="F161" s="42"/>
      <x:c r="G161" s="42"/>
      <x:c r="H161" s="42"/>
      <x:c r="I161" s="42"/>
      <x:c r="J161" s="42"/>
      <x:c r="K161" s="42"/>
      <x:c r="L161" s="42"/>
      <x:c r="M161" s="42"/>
    </x:row>
    <x:row r="162">
      <x:c r="A162" s="42"/>
      <x:c r="B162" s="42"/>
      <x:c r="C162" s="42"/>
      <x:c r="D162" s="42"/>
      <x:c r="E162" s="42"/>
      <x:c r="F162" s="42"/>
      <x:c r="G162" s="42"/>
      <x:c r="H162" s="42"/>
      <x:c r="I162" s="42"/>
      <x:c r="J162" s="42"/>
      <x:c r="K162" s="42"/>
      <x:c r="L162" s="42"/>
      <x:c r="M162" s="42"/>
    </x:row>
    <x:row r="163">
      <x:c r="A163" s="42"/>
      <x:c r="B163" s="42"/>
      <x:c r="C163" s="42"/>
      <x:c r="D163" s="42"/>
      <x:c r="E163" s="42"/>
      <x:c r="F163" s="42"/>
      <x:c r="G163" s="42"/>
      <x:c r="H163" s="42"/>
      <x:c r="I163" s="42"/>
      <x:c r="J163" s="42"/>
      <x:c r="K163" s="42"/>
      <x:c r="L163" s="42"/>
      <x:c r="M163" s="42"/>
    </x:row>
    <x:row r="164">
      <x:c r="A164" s="42"/>
      <x:c r="B164" s="42"/>
      <x:c r="C164" s="42"/>
      <x:c r="D164" s="42"/>
      <x:c r="E164" s="42"/>
      <x:c r="F164" s="42"/>
      <x:c r="G164" s="42"/>
      <x:c r="H164" s="42"/>
      <x:c r="I164" s="42"/>
      <x:c r="J164" s="42"/>
      <x:c r="K164" s="42"/>
      <x:c r="L164" s="42"/>
      <x:c r="M164" s="42"/>
    </x:row>
    <x:row r="165">
      <x:c r="A165" s="42"/>
      <x:c r="B165" s="42"/>
      <x:c r="C165" s="42"/>
      <x:c r="D165" s="42"/>
      <x:c r="E165" s="42"/>
      <x:c r="F165" s="42"/>
      <x:c r="G165" s="42"/>
      <x:c r="H165" s="42"/>
      <x:c r="I165" s="42"/>
      <x:c r="J165" s="42"/>
      <x:c r="K165" s="42"/>
      <x:c r="L165" s="42"/>
      <x:c r="M165" s="42"/>
    </x:row>
    <x:row r="166">
      <x:c r="A166" s="42"/>
      <x:c r="B166" s="42"/>
      <x:c r="C166" s="42"/>
      <x:c r="D166" s="42"/>
      <x:c r="E166" s="42"/>
      <x:c r="F166" s="42"/>
      <x:c r="G166" s="42"/>
      <x:c r="H166" s="42"/>
      <x:c r="I166" s="42"/>
      <x:c r="J166" s="42"/>
      <x:c r="K166" s="42"/>
      <x:c r="L166" s="42"/>
      <x:c r="M166" s="42"/>
    </x:row>
    <x:row r="167">
      <x:c r="A167" s="42"/>
      <x:c r="B167" s="42"/>
      <x:c r="C167" s="42"/>
      <x:c r="D167" s="42"/>
      <x:c r="E167" s="42"/>
      <x:c r="F167" s="42"/>
      <x:c r="G167" s="42"/>
      <x:c r="H167" s="42"/>
      <x:c r="I167" s="42"/>
      <x:c r="J167" s="42"/>
      <x:c r="K167" s="42"/>
      <x:c r="L167" s="42"/>
      <x:c r="M167" s="42"/>
    </x:row>
    <x:row r="168">
      <x:c r="A168" s="42"/>
      <x:c r="B168" s="42"/>
      <x:c r="C168" s="42"/>
      <x:c r="D168" s="42"/>
      <x:c r="E168" s="42"/>
      <x:c r="F168" s="42"/>
      <x:c r="G168" s="42"/>
      <x:c r="H168" s="42"/>
      <x:c r="I168" s="42"/>
      <x:c r="J168" s="42"/>
      <x:c r="K168" s="42"/>
      <x:c r="L168" s="42"/>
      <x:c r="M168" s="42"/>
    </x:row>
    <x:row r="169">
      <x:c r="A169" s="42"/>
      <x:c r="B169" s="42"/>
      <x:c r="C169" s="42"/>
      <x:c r="D169" s="42"/>
      <x:c r="E169" s="42"/>
      <x:c r="F169" s="42"/>
      <x:c r="G169" s="42"/>
      <x:c r="H169" s="42"/>
      <x:c r="I169" s="42"/>
      <x:c r="J169" s="42"/>
      <x:c r="K169" s="42"/>
      <x:c r="L169" s="42"/>
      <x:c r="M169" s="42"/>
    </x:row>
    <x:row r="170">
      <x:c r="A170" s="42"/>
      <x:c r="B170" s="42"/>
      <x:c r="C170" s="42"/>
      <x:c r="D170" s="42"/>
      <x:c r="E170" s="42"/>
      <x:c r="F170" s="42"/>
      <x:c r="G170" s="42"/>
      <x:c r="H170" s="42"/>
      <x:c r="I170" s="42"/>
      <x:c r="J170" s="42"/>
      <x:c r="K170" s="42"/>
      <x:c r="L170" s="42"/>
      <x:c r="M170" s="42"/>
    </x:row>
    <x:row r="171">
      <x:c r="A171" s="42"/>
      <x:c r="B171" s="42"/>
      <x:c r="C171" s="42"/>
      <x:c r="D171" s="42"/>
      <x:c r="E171" s="42"/>
      <x:c r="F171" s="42"/>
      <x:c r="G171" s="42"/>
      <x:c r="H171" s="42"/>
      <x:c r="I171" s="42"/>
      <x:c r="J171" s="42"/>
      <x:c r="K171" s="42"/>
      <x:c r="L171" s="42"/>
      <x:c r="M171" s="42"/>
    </x:row>
    <x:row r="172">
      <x:c r="A172" s="42"/>
      <x:c r="B172" s="42"/>
      <x:c r="C172" s="42"/>
      <x:c r="D172" s="42"/>
      <x:c r="E172" s="42"/>
      <x:c r="F172" s="42"/>
      <x:c r="G172" s="42"/>
      <x:c r="H172" s="42"/>
      <x:c r="I172" s="42"/>
      <x:c r="J172" s="42"/>
      <x:c r="K172" s="42"/>
      <x:c r="L172" s="42"/>
      <x:c r="M172" s="42"/>
    </x:row>
    <x:row r="173">
      <x:c r="A173" s="42"/>
      <x:c r="B173" s="42"/>
      <x:c r="C173" s="42"/>
      <x:c r="D173" s="42"/>
      <x:c r="E173" s="42"/>
      <x:c r="F173" s="42"/>
      <x:c r="G173" s="42"/>
      <x:c r="H173" s="42"/>
      <x:c r="I173" s="42"/>
      <x:c r="J173" s="42"/>
      <x:c r="K173" s="42"/>
      <x:c r="L173" s="42"/>
      <x:c r="M173" s="42"/>
    </x:row>
    <x:row r="174">
      <x:c r="A174" s="42"/>
      <x:c r="B174" s="42"/>
      <x:c r="C174" s="42"/>
      <x:c r="D174" s="42"/>
      <x:c r="E174" s="42"/>
      <x:c r="F174" s="42"/>
      <x:c r="G174" s="42"/>
      <x:c r="H174" s="42"/>
      <x:c r="I174" s="42"/>
      <x:c r="J174" s="42"/>
      <x:c r="K174" s="42"/>
      <x:c r="L174" s="42"/>
      <x:c r="M174" s="42"/>
    </x:row>
    <x:row r="175">
      <x:c r="A175" s="42"/>
      <x:c r="B175" s="42"/>
      <x:c r="C175" s="42"/>
      <x:c r="D175" s="42"/>
      <x:c r="E175" s="42"/>
      <x:c r="F175" s="42"/>
      <x:c r="G175" s="42"/>
      <x:c r="H175" s="42"/>
      <x:c r="I175" s="42"/>
      <x:c r="J175" s="42"/>
      <x:c r="K175" s="42"/>
      <x:c r="L175" s="42"/>
      <x:c r="M175" s="42"/>
    </x:row>
    <x:row r="176">
      <x:c r="A176" s="42"/>
      <x:c r="B176" s="42"/>
      <x:c r="C176" s="42"/>
      <x:c r="D176" s="42"/>
      <x:c r="E176" s="42"/>
      <x:c r="F176" s="42"/>
      <x:c r="G176" s="42"/>
      <x:c r="H176" s="42"/>
      <x:c r="I176" s="42"/>
      <x:c r="J176" s="42"/>
      <x:c r="K176" s="42"/>
      <x:c r="L176" s="42"/>
      <x:c r="M176" s="42"/>
    </x:row>
    <x:row r="177">
      <x:c r="A177" s="42"/>
      <x:c r="B177" s="42"/>
      <x:c r="C177" s="42"/>
      <x:c r="D177" s="42"/>
      <x:c r="E177" s="42"/>
      <x:c r="F177" s="42"/>
      <x:c r="G177" s="42"/>
      <x:c r="H177" s="42"/>
      <x:c r="I177" s="42"/>
      <x:c r="J177" s="42"/>
      <x:c r="K177" s="42"/>
      <x:c r="L177" s="42"/>
      <x:c r="M177" s="42"/>
    </x:row>
    <x:row r="178">
      <x:c r="A178" s="42"/>
      <x:c r="B178" s="42"/>
      <x:c r="C178" s="42"/>
      <x:c r="D178" s="42"/>
      <x:c r="E178" s="42"/>
      <x:c r="F178" s="42"/>
      <x:c r="G178" s="42"/>
      <x:c r="H178" s="42"/>
      <x:c r="I178" s="42"/>
      <x:c r="J178" s="42"/>
      <x:c r="K178" s="42"/>
      <x:c r="L178" s="42"/>
      <x:c r="M178" s="42"/>
    </x:row>
    <x:row r="179">
      <x:c r="A179" s="42"/>
      <x:c r="B179" s="42"/>
      <x:c r="C179" s="42"/>
      <x:c r="D179" s="42"/>
      <x:c r="E179" s="42"/>
      <x:c r="F179" s="42"/>
      <x:c r="G179" s="42"/>
      <x:c r="H179" s="42"/>
      <x:c r="I179" s="42"/>
      <x:c r="J179" s="42"/>
      <x:c r="K179" s="42"/>
      <x:c r="L179" s="42"/>
      <x:c r="M179" s="42"/>
    </x:row>
    <x:row r="180">
      <x:c r="A180" s="42"/>
      <x:c r="B180" s="42"/>
      <x:c r="C180" s="42"/>
      <x:c r="D180" s="42"/>
      <x:c r="E180" s="42"/>
      <x:c r="F180" s="42"/>
      <x:c r="G180" s="42"/>
      <x:c r="H180" s="42"/>
      <x:c r="I180" s="42"/>
      <x:c r="J180" s="42"/>
      <x:c r="K180" s="42"/>
      <x:c r="L180" s="42"/>
      <x:c r="M180" s="42"/>
    </x:row>
    <x:row r="181">
      <x:c r="A181" s="42"/>
      <x:c r="B181" s="42"/>
      <x:c r="C181" s="42"/>
      <x:c r="D181" s="42"/>
      <x:c r="E181" s="42"/>
      <x:c r="F181" s="42"/>
      <x:c r="G181" s="42"/>
      <x:c r="H181" s="42"/>
      <x:c r="I181" s="42"/>
      <x:c r="J181" s="42"/>
      <x:c r="K181" s="42"/>
      <x:c r="L181" s="42"/>
      <x:c r="M181" s="42"/>
    </x:row>
    <x:row r="182">
      <x:c r="A182" s="42"/>
      <x:c r="B182" s="42"/>
      <x:c r="C182" s="42"/>
      <x:c r="D182" s="42"/>
      <x:c r="E182" s="42"/>
      <x:c r="F182" s="42"/>
      <x:c r="G182" s="42"/>
      <x:c r="H182" s="42"/>
      <x:c r="I182" s="42"/>
      <x:c r="J182" s="42"/>
      <x:c r="K182" s="42"/>
      <x:c r="L182" s="42"/>
      <x:c r="M182" s="42"/>
    </x:row>
    <x:row r="183">
      <x:c r="A183" s="42"/>
      <x:c r="B183" s="42"/>
      <x:c r="C183" s="42"/>
      <x:c r="D183" s="42"/>
      <x:c r="E183" s="42"/>
      <x:c r="F183" s="42"/>
      <x:c r="G183" s="42"/>
      <x:c r="H183" s="42"/>
      <x:c r="I183" s="42"/>
      <x:c r="J183" s="42"/>
      <x:c r="K183" s="42"/>
      <x:c r="L183" s="42"/>
      <x:c r="M183" s="42"/>
    </x:row>
    <x:row r="184">
      <x:c r="A184" s="42"/>
      <x:c r="B184" s="42"/>
      <x:c r="C184" s="42"/>
      <x:c r="D184" s="42"/>
      <x:c r="E184" s="42"/>
      <x:c r="F184" s="42"/>
      <x:c r="G184" s="42"/>
      <x:c r="H184" s="42"/>
      <x:c r="I184" s="42"/>
      <x:c r="J184" s="42"/>
      <x:c r="K184" s="42"/>
      <x:c r="L184" s="42"/>
      <x:c r="M184" s="42"/>
    </x:row>
    <x:row r="185">
      <x:c r="A185" s="42"/>
      <x:c r="B185" s="42"/>
      <x:c r="C185" s="42"/>
      <x:c r="D185" s="42"/>
      <x:c r="E185" s="42"/>
      <x:c r="F185" s="42"/>
      <x:c r="G185" s="42"/>
      <x:c r="H185" s="42"/>
      <x:c r="I185" s="42"/>
      <x:c r="J185" s="42"/>
      <x:c r="K185" s="42"/>
      <x:c r="L185" s="42"/>
      <x:c r="M185" s="42"/>
    </x:row>
    <x:row r="186">
      <x:c r="A186" s="42"/>
      <x:c r="B186" s="42"/>
      <x:c r="C186" s="42"/>
      <x:c r="D186" s="42"/>
      <x:c r="E186" s="42"/>
      <x:c r="F186" s="42"/>
      <x:c r="G186" s="42"/>
      <x:c r="H186" s="42"/>
      <x:c r="I186" s="42"/>
      <x:c r="J186" s="42"/>
      <x:c r="K186" s="42"/>
      <x:c r="L186" s="42"/>
      <x:c r="M186" s="42"/>
    </x:row>
    <x:row r="187">
      <x:c r="A187" s="42"/>
      <x:c r="B187" s="42"/>
      <x:c r="C187" s="42"/>
      <x:c r="D187" s="42"/>
      <x:c r="E187" s="42"/>
      <x:c r="F187" s="42"/>
      <x:c r="G187" s="42"/>
      <x:c r="H187" s="42"/>
      <x:c r="I187" s="42"/>
      <x:c r="J187" s="42"/>
      <x:c r="K187" s="42"/>
      <x:c r="L187" s="42"/>
      <x:c r="M187" s="42"/>
    </x:row>
    <x:row r="188">
      <x:c r="A188" s="42"/>
      <x:c r="B188" s="42"/>
      <x:c r="C188" s="42"/>
      <x:c r="D188" s="42"/>
      <x:c r="E188" s="42"/>
      <x:c r="F188" s="42"/>
      <x:c r="G188" s="42"/>
      <x:c r="H188" s="42"/>
      <x:c r="I188" s="42"/>
      <x:c r="J188" s="42"/>
      <x:c r="K188" s="42"/>
      <x:c r="L188" s="42"/>
      <x:c r="M188" s="42"/>
    </x:row>
    <x:row r="189">
      <x:c r="A189" s="42"/>
      <x:c r="B189" s="42"/>
      <x:c r="C189" s="42"/>
      <x:c r="D189" s="42"/>
      <x:c r="E189" s="42"/>
      <x:c r="F189" s="42"/>
      <x:c r="G189" s="42"/>
      <x:c r="H189" s="42"/>
      <x:c r="I189" s="42"/>
      <x:c r="J189" s="42"/>
      <x:c r="K189" s="42"/>
      <x:c r="L189" s="42"/>
      <x:c r="M189" s="42"/>
    </x:row>
    <x:row r="190">
      <x:c r="A190" s="42"/>
      <x:c r="B190" s="42"/>
      <x:c r="C190" s="42"/>
      <x:c r="D190" s="42"/>
      <x:c r="E190" s="42"/>
      <x:c r="F190" s="42"/>
      <x:c r="G190" s="42"/>
      <x:c r="H190" s="42"/>
      <x:c r="I190" s="42"/>
      <x:c r="J190" s="42"/>
      <x:c r="K190" s="42"/>
      <x:c r="L190" s="42"/>
      <x:c r="M190" s="42"/>
    </x:row>
    <x:row r="191">
      <x:c r="A191" s="42"/>
      <x:c r="B191" s="42"/>
      <x:c r="C191" s="42"/>
      <x:c r="D191" s="42"/>
      <x:c r="E191" s="42"/>
      <x:c r="F191" s="42"/>
      <x:c r="G191" s="42"/>
      <x:c r="H191" s="42"/>
      <x:c r="I191" s="42"/>
      <x:c r="J191" s="42"/>
      <x:c r="K191" s="42"/>
      <x:c r="L191" s="42"/>
      <x:c r="M191" s="42"/>
    </x:row>
    <x:row r="192">
      <x:c r="A192" s="42"/>
      <x:c r="B192" s="42"/>
      <x:c r="C192" s="42"/>
      <x:c r="D192" s="42"/>
      <x:c r="E192" s="42"/>
      <x:c r="F192" s="42"/>
      <x:c r="G192" s="42"/>
      <x:c r="H192" s="42"/>
      <x:c r="I192" s="42"/>
      <x:c r="J192" s="42"/>
      <x:c r="K192" s="42"/>
      <x:c r="L192" s="42"/>
      <x:c r="M192" s="42"/>
    </x:row>
    <x:row r="193">
      <x:c r="A193" s="42"/>
      <x:c r="B193" s="42"/>
      <x:c r="C193" s="42"/>
      <x:c r="D193" s="42"/>
      <x:c r="E193" s="42"/>
      <x:c r="F193" s="42"/>
      <x:c r="G193" s="42"/>
      <x:c r="H193" s="42"/>
      <x:c r="I193" s="42"/>
      <x:c r="J193" s="42"/>
      <x:c r="K193" s="42"/>
      <x:c r="L193" s="42"/>
      <x:c r="M193" s="42"/>
    </x:row>
    <x:row r="194">
      <x:c r="A194" s="42"/>
      <x:c r="B194" s="42"/>
      <x:c r="C194" s="42"/>
      <x:c r="D194" s="42"/>
      <x:c r="E194" s="42"/>
      <x:c r="F194" s="42"/>
      <x:c r="G194" s="42"/>
      <x:c r="H194" s="42"/>
      <x:c r="I194" s="42"/>
      <x:c r="J194" s="42"/>
      <x:c r="K194" s="42"/>
      <x:c r="L194" s="42"/>
      <x:c r="M194" s="42"/>
    </x:row>
    <x:row r="195">
      <x:c r="A195" s="42"/>
      <x:c r="B195" s="42"/>
      <x:c r="C195" s="42"/>
      <x:c r="D195" s="42"/>
      <x:c r="E195" s="42"/>
      <x:c r="F195" s="42"/>
      <x:c r="G195" s="42"/>
      <x:c r="H195" s="42"/>
      <x:c r="I195" s="42"/>
      <x:c r="J195" s="42"/>
      <x:c r="K195" s="42"/>
      <x:c r="L195" s="42"/>
      <x:c r="M195" s="42"/>
    </x:row>
    <x:row r="196">
      <x:c r="A196" s="42"/>
      <x:c r="B196" s="42"/>
      <x:c r="C196" s="42"/>
      <x:c r="D196" s="42"/>
      <x:c r="E196" s="42"/>
      <x:c r="F196" s="42"/>
      <x:c r="G196" s="42"/>
      <x:c r="H196" s="42"/>
      <x:c r="I196" s="42"/>
      <x:c r="J196" s="42"/>
      <x:c r="K196" s="42"/>
      <x:c r="L196" s="42"/>
      <x:c r="M196" s="42"/>
    </x:row>
    <x:row r="197">
      <x:c r="A197" s="42"/>
      <x:c r="B197" s="42"/>
      <x:c r="C197" s="42"/>
      <x:c r="D197" s="42"/>
      <x:c r="E197" s="42"/>
      <x:c r="F197" s="42"/>
      <x:c r="G197" s="42"/>
      <x:c r="H197" s="42"/>
      <x:c r="I197" s="42"/>
      <x:c r="J197" s="42"/>
      <x:c r="K197" s="42"/>
      <x:c r="L197" s="42"/>
      <x:c r="M197" s="42"/>
    </x:row>
    <x:row r="198">
      <x:c r="A198" s="42"/>
      <x:c r="B198" s="42"/>
      <x:c r="C198" s="42"/>
      <x:c r="D198" s="42"/>
      <x:c r="E198" s="42"/>
      <x:c r="F198" s="42"/>
      <x:c r="G198" s="42"/>
      <x:c r="H198" s="42"/>
      <x:c r="I198" s="42"/>
      <x:c r="J198" s="42"/>
      <x:c r="K198" s="42"/>
      <x:c r="L198" s="42"/>
      <x:c r="M198" s="42"/>
    </x:row>
    <x:row r="199">
      <x:c r="A199" s="42"/>
      <x:c r="B199" s="42"/>
      <x:c r="C199" s="42"/>
      <x:c r="D199" s="42"/>
      <x:c r="E199" s="42"/>
      <x:c r="F199" s="42"/>
      <x:c r="G199" s="42"/>
      <x:c r="H199" s="42"/>
      <x:c r="I199" s="42"/>
      <x:c r="J199" s="42"/>
      <x:c r="K199" s="42"/>
      <x:c r="L199" s="42"/>
      <x:c r="M199" s="42"/>
    </x:row>
    <x:row r="200">
      <x:c r="A200" s="42"/>
      <x:c r="B200" s="42"/>
      <x:c r="C200" s="42"/>
      <x:c r="D200" s="42"/>
      <x:c r="E200" s="42"/>
      <x:c r="F200" s="42"/>
      <x:c r="G200" s="42"/>
      <x:c r="H200" s="42"/>
      <x:c r="I200" s="42"/>
      <x:c r="J200" s="42"/>
      <x:c r="K200" s="42"/>
      <x:c r="L200" s="42"/>
      <x:c r="M200" s="42"/>
    </x:row>
  </x:sheetData>
  <x:mergeCells>
    <x:mergeCell ref="A1:M1"/>
    <x:mergeCell ref="A2:M2"/>
  </x:mergeCells>
  <x:pageMargins left="0.7" right="0.7" top="0.75" bottom="0.75" header="0.3" footer="0.3"/>
</x:worksheet>
</file>